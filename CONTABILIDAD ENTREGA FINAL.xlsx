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RA TORRES\Documents\"/>
    </mc:Choice>
  </mc:AlternateContent>
  <xr:revisionPtr revIDLastSave="0" documentId="13_ncr:1_{9F50536E-6F38-4B39-A13F-6F9C8FE69633}" xr6:coauthVersionLast="47" xr6:coauthVersionMax="47" xr10:uidLastSave="{00000000-0000-0000-0000-000000000000}"/>
  <bookViews>
    <workbookView xWindow="-108" yWindow="-108" windowWidth="23256" windowHeight="12456" activeTab="1" xr2:uid="{09774EFB-D392-428C-8BC3-786CFDD7F7F2}"/>
  </bookViews>
  <sheets>
    <sheet name="LIBRO DIARIO" sheetId="1" r:id="rId1"/>
    <sheet name="LIBRO MAYOR" sheetId="2" r:id="rId2"/>
    <sheet name="Hoja2" sheetId="4" r:id="rId3"/>
    <sheet name="ESTADO DE RESULTADOS" sheetId="5" r:id="rId4"/>
    <sheet name="BALANCE DE COMPROBACION 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6" i="4" s="1"/>
  <c r="E7" i="4" s="1"/>
  <c r="E8" i="4" s="1"/>
  <c r="E4" i="4"/>
  <c r="E3" i="4"/>
  <c r="R31" i="2"/>
  <c r="F51" i="2"/>
  <c r="F52" i="2" s="1"/>
  <c r="F44" i="2"/>
  <c r="F45" i="2" s="1"/>
  <c r="F34" i="2"/>
  <c r="F35" i="2" s="1"/>
  <c r="F36" i="2" s="1"/>
  <c r="F37" i="2" s="1"/>
  <c r="F38" i="2" s="1"/>
  <c r="L52" i="2"/>
  <c r="L53" i="2" s="1"/>
  <c r="L41" i="2"/>
  <c r="L42" i="2" s="1"/>
  <c r="L43" i="2" s="1"/>
  <c r="L44" i="2" s="1"/>
  <c r="L45" i="2" s="1"/>
  <c r="L46" i="2" s="1"/>
  <c r="L29" i="2"/>
  <c r="L30" i="2" s="1"/>
  <c r="L32" i="2" s="1"/>
  <c r="L33" i="2" s="1"/>
  <c r="L34" i="2" s="1"/>
  <c r="L35" i="2" s="1"/>
  <c r="R45" i="2"/>
  <c r="R46" i="2" s="1"/>
  <c r="R37" i="2"/>
  <c r="R38" i="2" s="1"/>
  <c r="R39" i="2" s="1"/>
  <c r="R24" i="2"/>
  <c r="R25" i="2" s="1"/>
  <c r="R26" i="2" s="1"/>
  <c r="R28" i="2" s="1"/>
  <c r="R29" i="2" s="1"/>
  <c r="R30" i="2" s="1"/>
  <c r="R13" i="2"/>
  <c r="R14" i="2" s="1"/>
  <c r="R15" i="2" s="1"/>
  <c r="R16" i="2" s="1"/>
  <c r="R17" i="2" s="1"/>
  <c r="L13" i="2"/>
  <c r="L14" i="2" s="1"/>
  <c r="L15" i="2" s="1"/>
  <c r="L16" i="2" s="1"/>
  <c r="L17" i="2" s="1"/>
  <c r="L18" i="2" s="1"/>
  <c r="L19" i="2" s="1"/>
  <c r="L20" i="2" s="1"/>
  <c r="L21" i="2" s="1"/>
  <c r="R6" i="2" l="1"/>
  <c r="R7" i="2" s="1"/>
  <c r="L6" i="2"/>
  <c r="L7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</calcChain>
</file>

<file path=xl/sharedStrings.xml><?xml version="1.0" encoding="utf-8"?>
<sst xmlns="http://schemas.openxmlformats.org/spreadsheetml/2006/main" count="354" uniqueCount="111">
  <si>
    <t>Fecha</t>
  </si>
  <si>
    <t>Concepto</t>
  </si>
  <si>
    <t>Código</t>
  </si>
  <si>
    <t>Cuenta</t>
  </si>
  <si>
    <t>Debe</t>
  </si>
  <si>
    <t>Haber</t>
  </si>
  <si>
    <t>Comercial los Llanos S.A.S.</t>
  </si>
  <si>
    <t>LIBRO DIARIO</t>
  </si>
  <si>
    <t>Cuenta:</t>
  </si>
  <si>
    <t>LIBRO MAYOR</t>
  </si>
  <si>
    <t xml:space="preserve">Debe </t>
  </si>
  <si>
    <t>Saldo</t>
  </si>
  <si>
    <t>1105 CAJA</t>
  </si>
  <si>
    <t xml:space="preserve"> </t>
  </si>
  <si>
    <t>Aportes de socios en efectivo .</t>
  </si>
  <si>
    <t>Caja</t>
  </si>
  <si>
    <t>Aportes de socios en efectivo.</t>
  </si>
  <si>
    <t>Consignacion en cuanta bancaria</t>
  </si>
  <si>
    <t xml:space="preserve">Banco </t>
  </si>
  <si>
    <t xml:space="preserve">Compra de mercancia al credico </t>
  </si>
  <si>
    <t>Inventarios</t>
  </si>
  <si>
    <t>Costo de ventas</t>
  </si>
  <si>
    <t>Pago de servicos de energia</t>
  </si>
  <si>
    <t>Costo de ventas(60%)</t>
  </si>
  <si>
    <t>Pago de arriendo del local</t>
  </si>
  <si>
    <t>Abono al proveedor</t>
  </si>
  <si>
    <t>Venta a credito</t>
  </si>
  <si>
    <t xml:space="preserve">Clientes </t>
  </si>
  <si>
    <t>Costos de ventas</t>
  </si>
  <si>
    <t xml:space="preserve">Costo de ventas </t>
  </si>
  <si>
    <t>Compra de insumos y papeleria en efectivo</t>
  </si>
  <si>
    <t>Cobro a cliente por venta de abril</t>
  </si>
  <si>
    <t xml:space="preserve">Caja </t>
  </si>
  <si>
    <t xml:space="preserve">Pago de servicio de internet </t>
  </si>
  <si>
    <t>Compra de mercancia (50%efectivo,50%credito)</t>
  </si>
  <si>
    <t>Pago en efectivo por mercancia</t>
  </si>
  <si>
    <t>Compra a credito</t>
  </si>
  <si>
    <t xml:space="preserve">Venta de mercancia en efectivo </t>
  </si>
  <si>
    <t>Pago de salario al empleado</t>
  </si>
  <si>
    <t>Pago de servicios publicos</t>
  </si>
  <si>
    <t>Venta de mercancia a credito</t>
  </si>
  <si>
    <t xml:space="preserve">Costos de ventas </t>
  </si>
  <si>
    <t xml:space="preserve">Pago parcial de cliente </t>
  </si>
  <si>
    <t>Pago al proveedor</t>
  </si>
  <si>
    <t>Pago de ariendo del local</t>
  </si>
  <si>
    <t>Resgidtro de merma  o perdida de inventario</t>
  </si>
  <si>
    <t>Deterioro de inventarios</t>
  </si>
  <si>
    <t>Pago de servicios de nergia y agua</t>
  </si>
  <si>
    <t xml:space="preserve">Pago de prima de servicos al empleado </t>
  </si>
  <si>
    <t xml:space="preserve">Servicios </t>
  </si>
  <si>
    <t>Prima de servicios</t>
  </si>
  <si>
    <t>Cobro de saldo pendiente de agosto</t>
  </si>
  <si>
    <t>fecha</t>
  </si>
  <si>
    <t>Venta en efectivo</t>
  </si>
  <si>
    <t>v</t>
  </si>
  <si>
    <t>comercial los llanos S.A.S</t>
  </si>
  <si>
    <t>concepto</t>
  </si>
  <si>
    <t>Pago de servicos de energia en efectivo</t>
  </si>
  <si>
    <t>Pago de arriendo del local en efectivo</t>
  </si>
  <si>
    <t>Costos de ventas(60%)</t>
  </si>
  <si>
    <t>Arriendamientos</t>
  </si>
  <si>
    <t>Papelería y útiles</t>
  </si>
  <si>
    <t>Aportes sociales</t>
  </si>
  <si>
    <t>proveeedores nacionales</t>
  </si>
  <si>
    <t>Proveedores nacionales</t>
  </si>
  <si>
    <t>Comercio al por mayor y al por menor</t>
  </si>
  <si>
    <t>Gasto de personal</t>
  </si>
  <si>
    <t>3115 APORTES SOCIALES</t>
  </si>
  <si>
    <t>1435 INVENTARIOS</t>
  </si>
  <si>
    <t>1110 BANCOS</t>
  </si>
  <si>
    <t>2205 PROVEEDORES NACIONALES</t>
  </si>
  <si>
    <t>6135 COSTO DE VENTAS</t>
  </si>
  <si>
    <t>5220 ARRENDAMIENTOS</t>
  </si>
  <si>
    <t>1710 PAPELERIA Y UTILES</t>
  </si>
  <si>
    <t xml:space="preserve">Fecha </t>
  </si>
  <si>
    <t xml:space="preserve">4135 COMERCIO AL POR MAYOR Y AL POR MENOR </t>
  </si>
  <si>
    <t>1305 CLIENTES</t>
  </si>
  <si>
    <t>5220 PRIMA DE SERVICIOS</t>
  </si>
  <si>
    <t xml:space="preserve">5135 SERVICIOS </t>
  </si>
  <si>
    <t>5105 GASTO DE PERSONAL</t>
  </si>
  <si>
    <t xml:space="preserve">1499 DETERIORO DE INVENTARIO </t>
  </si>
  <si>
    <t>inventarios</t>
  </si>
  <si>
    <t>Compra de mercancia</t>
  </si>
  <si>
    <t xml:space="preserve">Pago en efectivo </t>
  </si>
  <si>
    <t>caja</t>
  </si>
  <si>
    <t>Dede</t>
  </si>
  <si>
    <t>Codigo</t>
  </si>
  <si>
    <t>Cierre de ceunta</t>
  </si>
  <si>
    <t>Cierre de cuenta</t>
  </si>
  <si>
    <t>saldo</t>
  </si>
  <si>
    <t>INGRESOS OPERACIONALES</t>
  </si>
  <si>
    <t>Ventas</t>
  </si>
  <si>
    <t>(-) Devoluciones y Descuentos</t>
  </si>
  <si>
    <t>Ingreso Neto</t>
  </si>
  <si>
    <t>COSTOS DE VENTAS</t>
  </si>
  <si>
    <t xml:space="preserve">Inventario Inicial </t>
  </si>
  <si>
    <t xml:space="preserve">(+) Compras </t>
  </si>
  <si>
    <t>(-) Inventario Final</t>
  </si>
  <si>
    <t xml:space="preserve">Costo de Ventas </t>
  </si>
  <si>
    <r>
      <rPr>
        <b/>
        <sz val="11"/>
        <color theme="1"/>
        <rFont val="Aptos Narrow"/>
        <family val="2"/>
        <scheme val="minor"/>
      </rPr>
      <t>UTILIDAD BRUTA</t>
    </r>
    <r>
      <rPr>
        <sz val="11"/>
        <color theme="1"/>
        <rFont val="Aptos Narrow"/>
        <family val="2"/>
        <scheme val="minor"/>
      </rPr>
      <t xml:space="preserve"> (= Ingreso Neto – Costo de Ventas)</t>
    </r>
  </si>
  <si>
    <t>GASTOS OPERACIONALES</t>
  </si>
  <si>
    <t xml:space="preserve">Gastos de Administración </t>
  </si>
  <si>
    <t>Gastos de Ventas</t>
  </si>
  <si>
    <t>Otros Gastos Operacionales</t>
  </si>
  <si>
    <r>
      <rPr>
        <b/>
        <sz val="11"/>
        <color theme="1"/>
        <rFont val="Aptos Narrow"/>
        <family val="2"/>
        <scheme val="minor"/>
      </rPr>
      <t>UTILIDAD OPERACIONAL</t>
    </r>
    <r>
      <rPr>
        <sz val="11"/>
        <color theme="1"/>
        <rFont val="Aptos Narrow"/>
        <family val="2"/>
        <scheme val="minor"/>
      </rPr>
      <t xml:space="preserve"> (= Utilidad Bruta – Gastos)</t>
    </r>
  </si>
  <si>
    <t>OTROS INGRESOS Y GASTOS</t>
  </si>
  <si>
    <t>Ingresos no Operacionales</t>
  </si>
  <si>
    <t>Gastos no Operacionales</t>
  </si>
  <si>
    <t>UTILIDAD ANTES DE IMPUESTOS</t>
  </si>
  <si>
    <t>IMPUESTO A LA RENTA</t>
  </si>
  <si>
    <t>UTILIDAD O PÉRDIDA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</si>
</sst>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0"/>
      <name val="Arial Narrow"/>
      <family val="2"/>
    </font>
    <font>
      <sz val="11"/>
      <name val="Arial Narrow"/>
      <family val="2"/>
    </font>
    <font>
      <sz val="11"/>
      <name val="Aptos Narrow"/>
      <family val="2"/>
      <scheme val="minor"/>
    </font>
    <font>
      <sz val="12"/>
      <name val="Arial Narrow"/>
      <family val="2"/>
    </font>
    <font>
      <sz val="12"/>
      <color theme="1"/>
      <name val="Arial Narrow"/>
      <family val="2"/>
    </font>
    <font>
      <sz val="14"/>
      <name val="Arial Narrow"/>
      <family val="2"/>
    </font>
    <font>
      <sz val="16"/>
      <name val="Arial Narrow"/>
      <family val="2"/>
    </font>
    <font>
      <b/>
      <sz val="14"/>
      <name val="Arial Narrow"/>
      <family val="2"/>
    </font>
    <font>
      <b/>
      <sz val="26"/>
      <color theme="0"/>
      <name val="Arial Narrow"/>
      <family val="2"/>
    </font>
    <font>
      <b/>
      <sz val="28"/>
      <color theme="0"/>
      <name val="Arial Narrow"/>
      <family val="2"/>
    </font>
    <font>
      <b/>
      <sz val="36"/>
      <color theme="0"/>
      <name val="Arial Narrow"/>
      <family val="2"/>
    </font>
    <font>
      <b/>
      <sz val="14"/>
      <color theme="0"/>
      <name val="Arial Narrow"/>
      <family val="2"/>
    </font>
    <font>
      <b/>
      <sz val="14"/>
      <color theme="1"/>
      <name val="Aptos Narrow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b/>
      <sz val="28"/>
      <color theme="0"/>
      <name val="Arial Narrow}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2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1793B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gradientFill>
        <stop position="0">
          <color theme="9" tint="0.59999389629810485"/>
        </stop>
        <stop position="1">
          <color theme="0" tint="-5.0965910824915313E-2"/>
        </stop>
      </gradientFill>
    </fill>
    <fill>
      <gradientFill degree="180">
        <stop position="0">
          <color theme="0"/>
        </stop>
        <stop position="1">
          <color theme="9" tint="0.59999389629810485"/>
        </stop>
      </gradient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gradientFill degree="180">
        <stop position="0">
          <color theme="0"/>
        </stop>
        <stop position="1">
          <color theme="9" tint="0.40000610370189521"/>
        </stop>
      </gradientFill>
    </fill>
  </fills>
  <borders count="17">
    <border>
      <left/>
      <right/>
      <top/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11793B"/>
      </left>
      <right style="thick">
        <color rgb="FF11793B"/>
      </right>
      <top style="thick">
        <color rgb="FF11793B"/>
      </top>
      <bottom style="thick">
        <color rgb="FF11793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ck">
        <color rgb="FF11793B"/>
      </right>
      <top style="thick">
        <color rgb="FF11793B"/>
      </top>
      <bottom style="thick">
        <color rgb="FF11793B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7" fillId="0" borderId="0" xfId="0" applyFont="1"/>
    <xf numFmtId="0" fontId="8" fillId="0" borderId="0" xfId="0" applyFont="1"/>
    <xf numFmtId="14" fontId="10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3" fontId="2" fillId="0" borderId="0" xfId="1" applyFont="1" applyBorder="1" applyAlignment="1">
      <alignment vertical="center"/>
    </xf>
    <xf numFmtId="14" fontId="9" fillId="5" borderId="10" xfId="0" applyNumberFormat="1" applyFont="1" applyFill="1" applyBorder="1" applyAlignment="1">
      <alignment vertical="center"/>
    </xf>
    <xf numFmtId="0" fontId="11" fillId="5" borderId="10" xfId="0" applyFont="1" applyFill="1" applyBorder="1"/>
    <xf numFmtId="14" fontId="9" fillId="5" borderId="10" xfId="0" applyNumberFormat="1" applyFont="1" applyFill="1" applyBorder="1"/>
    <xf numFmtId="0" fontId="18" fillId="3" borderId="12" xfId="0" applyFont="1" applyFill="1" applyBorder="1" applyAlignment="1">
      <alignment vertical="center"/>
    </xf>
    <xf numFmtId="0" fontId="5" fillId="3" borderId="12" xfId="0" applyFont="1" applyFill="1" applyBorder="1"/>
    <xf numFmtId="0" fontId="0" fillId="3" borderId="12" xfId="0" applyFill="1" applyBorder="1"/>
    <xf numFmtId="0" fontId="13" fillId="7" borderId="12" xfId="0" applyFont="1" applyFill="1" applyBorder="1" applyAlignment="1">
      <alignment horizontal="center" vertical="center"/>
    </xf>
    <xf numFmtId="0" fontId="19" fillId="7" borderId="12" xfId="0" applyFont="1" applyFill="1" applyBorder="1" applyAlignment="1">
      <alignment horizontal="center" vertical="center"/>
    </xf>
    <xf numFmtId="14" fontId="9" fillId="6" borderId="12" xfId="0" applyNumberFormat="1" applyFont="1" applyFill="1" applyBorder="1" applyAlignment="1">
      <alignment vertical="center"/>
    </xf>
    <xf numFmtId="0" fontId="9" fillId="6" borderId="12" xfId="0" applyFont="1" applyFill="1" applyBorder="1"/>
    <xf numFmtId="164" fontId="10" fillId="6" borderId="12" xfId="1" applyNumberFormat="1" applyFont="1" applyFill="1" applyBorder="1" applyAlignment="1">
      <alignment vertical="center"/>
    </xf>
    <xf numFmtId="14" fontId="9" fillId="6" borderId="12" xfId="0" applyNumberFormat="1" applyFont="1" applyFill="1" applyBorder="1"/>
    <xf numFmtId="0" fontId="10" fillId="6" borderId="12" xfId="0" applyFont="1" applyFill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5" fillId="4" borderId="12" xfId="0" applyFont="1" applyFill="1" applyBorder="1"/>
    <xf numFmtId="0" fontId="0" fillId="4" borderId="12" xfId="0" applyFill="1" applyBorder="1"/>
    <xf numFmtId="15" fontId="10" fillId="6" borderId="12" xfId="0" applyNumberFormat="1" applyFont="1" applyFill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14" fontId="9" fillId="6" borderId="11" xfId="0" applyNumberFormat="1" applyFont="1" applyFill="1" applyBorder="1" applyAlignment="1">
      <alignment vertical="center"/>
    </xf>
    <xf numFmtId="0" fontId="11" fillId="6" borderId="11" xfId="0" applyFont="1" applyFill="1" applyBorder="1"/>
    <xf numFmtId="14" fontId="9" fillId="6" borderId="11" xfId="0" applyNumberFormat="1" applyFont="1" applyFill="1" applyBorder="1"/>
    <xf numFmtId="0" fontId="9" fillId="6" borderId="11" xfId="0" applyFont="1" applyFill="1" applyBorder="1"/>
    <xf numFmtId="43" fontId="10" fillId="4" borderId="11" xfId="1" applyFont="1" applyFill="1" applyBorder="1" applyAlignment="1">
      <alignment vertical="center"/>
    </xf>
    <xf numFmtId="0" fontId="19" fillId="7" borderId="11" xfId="0" applyFont="1" applyFill="1" applyBorder="1" applyAlignment="1">
      <alignment horizontal="center" vertical="center"/>
    </xf>
    <xf numFmtId="43" fontId="19" fillId="7" borderId="11" xfId="1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vertical="center"/>
    </xf>
    <xf numFmtId="0" fontId="25" fillId="4" borderId="12" xfId="0" applyFont="1" applyFill="1" applyBorder="1" applyAlignment="1">
      <alignment vertical="center"/>
    </xf>
    <xf numFmtId="0" fontId="20" fillId="7" borderId="12" xfId="0" applyFont="1" applyFill="1" applyBorder="1" applyAlignment="1">
      <alignment horizontal="center" vertical="center"/>
    </xf>
    <xf numFmtId="43" fontId="3" fillId="4" borderId="11" xfId="1" applyFont="1" applyFill="1" applyBorder="1" applyAlignment="1">
      <alignment vertical="center"/>
    </xf>
    <xf numFmtId="0" fontId="0" fillId="6" borderId="11" xfId="0" applyFill="1" applyBorder="1"/>
    <xf numFmtId="43" fontId="19" fillId="4" borderId="11" xfId="1" applyFont="1" applyFill="1" applyBorder="1" applyAlignment="1">
      <alignment vertical="center"/>
    </xf>
    <xf numFmtId="164" fontId="10" fillId="6" borderId="11" xfId="2" applyNumberFormat="1" applyFont="1" applyFill="1" applyBorder="1" applyAlignment="1">
      <alignment vertical="center"/>
    </xf>
    <xf numFmtId="164" fontId="10" fillId="6" borderId="11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4" fontId="0" fillId="6" borderId="11" xfId="0" applyNumberFormat="1" applyFill="1" applyBorder="1"/>
    <xf numFmtId="164" fontId="24" fillId="6" borderId="12" xfId="0" applyNumberFormat="1" applyFont="1" applyFill="1" applyBorder="1"/>
    <xf numFmtId="164" fontId="24" fillId="6" borderId="11" xfId="0" applyNumberFormat="1" applyFont="1" applyFill="1" applyBorder="1"/>
    <xf numFmtId="0" fontId="24" fillId="6" borderId="11" xfId="0" applyFont="1" applyFill="1" applyBorder="1"/>
    <xf numFmtId="0" fontId="4" fillId="7" borderId="11" xfId="0" applyFont="1" applyFill="1" applyBorder="1" applyAlignment="1">
      <alignment horizontal="center"/>
    </xf>
    <xf numFmtId="0" fontId="0" fillId="4" borderId="11" xfId="0" applyFill="1" applyBorder="1"/>
    <xf numFmtId="0" fontId="23" fillId="4" borderId="11" xfId="0" applyFont="1" applyFill="1" applyBorder="1"/>
    <xf numFmtId="0" fontId="4" fillId="4" borderId="11" xfId="0" applyFont="1" applyFill="1" applyBorder="1"/>
    <xf numFmtId="0" fontId="22" fillId="2" borderId="11" xfId="0" applyFont="1" applyFill="1" applyBorder="1" applyAlignment="1">
      <alignment horizontal="center"/>
    </xf>
    <xf numFmtId="14" fontId="13" fillId="7" borderId="11" xfId="0" applyNumberFormat="1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164" fontId="11" fillId="5" borderId="10" xfId="1" applyNumberFormat="1" applyFont="1" applyFill="1" applyBorder="1" applyAlignment="1">
      <alignment horizontal="right"/>
    </xf>
    <xf numFmtId="164" fontId="11" fillId="5" borderId="10" xfId="1" applyNumberFormat="1" applyFont="1" applyFill="1" applyBorder="1" applyAlignment="1"/>
    <xf numFmtId="164" fontId="11" fillId="5" borderId="10" xfId="0" applyNumberFormat="1" applyFont="1" applyFill="1" applyBorder="1" applyAlignment="1">
      <alignment horizontal="right"/>
    </xf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/>
    </xf>
    <xf numFmtId="0" fontId="26" fillId="2" borderId="11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5" fontId="21" fillId="2" borderId="1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5" fontId="15" fillId="2" borderId="11" xfId="0" applyNumberFormat="1" applyFont="1" applyFill="1" applyBorder="1" applyAlignment="1">
      <alignment horizontal="center" vertical="center"/>
    </xf>
    <xf numFmtId="14" fontId="12" fillId="4" borderId="10" xfId="0" applyNumberFormat="1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/>
    </xf>
    <xf numFmtId="14" fontId="9" fillId="6" borderId="0" xfId="0" applyNumberFormat="1" applyFont="1" applyFill="1" applyBorder="1"/>
    <xf numFmtId="0" fontId="9" fillId="6" borderId="0" xfId="0" applyFont="1" applyFill="1" applyBorder="1"/>
    <xf numFmtId="164" fontId="10" fillId="6" borderId="0" xfId="1" applyNumberFormat="1" applyFont="1" applyFill="1" applyBorder="1" applyAlignment="1">
      <alignment vertical="center"/>
    </xf>
    <xf numFmtId="164" fontId="10" fillId="6" borderId="0" xfId="2" applyNumberFormat="1" applyFont="1" applyFill="1" applyBorder="1" applyAlignment="1">
      <alignment vertical="center"/>
    </xf>
    <xf numFmtId="0" fontId="11" fillId="5" borderId="14" xfId="0" applyFont="1" applyFill="1" applyBorder="1"/>
    <xf numFmtId="14" fontId="9" fillId="6" borderId="15" xfId="0" applyNumberFormat="1" applyFont="1" applyFill="1" applyBorder="1"/>
    <xf numFmtId="14" fontId="9" fillId="6" borderId="16" xfId="0" applyNumberFormat="1" applyFont="1" applyFill="1" applyBorder="1"/>
    <xf numFmtId="14" fontId="9" fillId="5" borderId="13" xfId="0" applyNumberFormat="1" applyFont="1" applyFill="1" applyBorder="1"/>
    <xf numFmtId="0" fontId="27" fillId="8" borderId="11" xfId="0" applyFont="1" applyFill="1" applyBorder="1" applyAlignment="1">
      <alignment horizontal="center"/>
    </xf>
    <xf numFmtId="0" fontId="0" fillId="9" borderId="11" xfId="0" applyFill="1" applyBorder="1"/>
    <xf numFmtId="164" fontId="24" fillId="6" borderId="0" xfId="0" applyNumberFormat="1" applyFont="1" applyFill="1" applyBorder="1"/>
    <xf numFmtId="14" fontId="24" fillId="6" borderId="11" xfId="0" applyNumberFormat="1" applyFont="1" applyFill="1" applyBorder="1"/>
    <xf numFmtId="14" fontId="0" fillId="6" borderId="11" xfId="0" applyNumberFormat="1" applyFill="1" applyBorder="1"/>
    <xf numFmtId="0" fontId="27" fillId="2" borderId="11" xfId="0" applyFont="1" applyFill="1" applyBorder="1"/>
    <xf numFmtId="0" fontId="27" fillId="2" borderId="11" xfId="0" applyFont="1" applyFill="1" applyBorder="1" applyAlignment="1">
      <alignment horizontal="center"/>
    </xf>
    <xf numFmtId="0" fontId="23" fillId="0" borderId="0" xfId="0" applyFo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1179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D88E-EFCB-4863-B0CB-E16713EF37BB}">
  <dimension ref="B2:N69"/>
  <sheetViews>
    <sheetView topLeftCell="A25" zoomScale="51" zoomScaleNormal="117" workbookViewId="0">
      <selection activeCell="B2" sqref="B2:G38"/>
    </sheetView>
  </sheetViews>
  <sheetFormatPr baseColWidth="10" defaultRowHeight="15.6"/>
  <cols>
    <col min="1" max="1" width="9.109375" customWidth="1"/>
    <col min="2" max="2" width="14.88671875" style="4" bestFit="1" customWidth="1"/>
    <col min="3" max="3" width="54.77734375" customWidth="1"/>
    <col min="4" max="4" width="8.21875" customWidth="1"/>
    <col min="5" max="5" width="41.109375" customWidth="1"/>
    <col min="6" max="6" width="20.88671875" style="6" customWidth="1"/>
    <col min="7" max="7" width="17.21875" customWidth="1"/>
  </cols>
  <sheetData>
    <row r="2" spans="2:14" ht="44.4">
      <c r="B2" s="59" t="s">
        <v>6</v>
      </c>
      <c r="C2" s="60"/>
      <c r="D2" s="60"/>
      <c r="E2" s="60"/>
      <c r="F2" s="60"/>
      <c r="G2" s="61"/>
    </row>
    <row r="3" spans="2:14" ht="18.600000000000001" thickBot="1">
      <c r="B3" s="62" t="s">
        <v>7</v>
      </c>
      <c r="C3" s="63"/>
      <c r="D3" s="63"/>
      <c r="E3" s="63"/>
      <c r="F3" s="63"/>
      <c r="G3" s="64"/>
    </row>
    <row r="4" spans="2:14" ht="21.6" thickTop="1" thickBot="1">
      <c r="B4" s="76" t="s">
        <v>52</v>
      </c>
      <c r="C4" s="77" t="s">
        <v>1</v>
      </c>
      <c r="D4" s="77" t="s">
        <v>2</v>
      </c>
      <c r="E4" s="77" t="s">
        <v>3</v>
      </c>
      <c r="F4" s="77" t="s">
        <v>4</v>
      </c>
      <c r="G4" s="77" t="s">
        <v>5</v>
      </c>
      <c r="H4" s="1"/>
      <c r="I4" s="1"/>
    </row>
    <row r="5" spans="2:14" ht="19.2" thickTop="1" thickBot="1">
      <c r="B5" s="10">
        <v>45717</v>
      </c>
      <c r="C5" s="11" t="s">
        <v>14</v>
      </c>
      <c r="D5" s="11">
        <v>1105</v>
      </c>
      <c r="E5" s="11" t="s">
        <v>15</v>
      </c>
      <c r="F5" s="56">
        <v>20000000</v>
      </c>
      <c r="G5" s="56"/>
      <c r="H5" s="1"/>
      <c r="I5" s="1"/>
    </row>
    <row r="6" spans="2:14" ht="19.2" thickTop="1" thickBot="1">
      <c r="B6" s="10">
        <v>45717</v>
      </c>
      <c r="C6" s="11" t="s">
        <v>16</v>
      </c>
      <c r="D6" s="11">
        <v>3115</v>
      </c>
      <c r="E6" s="11" t="s">
        <v>62</v>
      </c>
      <c r="F6" s="56"/>
      <c r="G6" s="56">
        <v>20000000</v>
      </c>
      <c r="H6" s="1"/>
      <c r="I6" s="1"/>
    </row>
    <row r="7" spans="2:14" ht="19.2" thickTop="1" thickBot="1">
      <c r="B7" s="10">
        <v>45719</v>
      </c>
      <c r="C7" s="11" t="s">
        <v>17</v>
      </c>
      <c r="D7" s="11">
        <v>1110</v>
      </c>
      <c r="E7" s="11" t="s">
        <v>18</v>
      </c>
      <c r="F7" s="57">
        <v>12000000</v>
      </c>
      <c r="G7" s="56"/>
      <c r="H7" s="1"/>
      <c r="I7" s="1"/>
    </row>
    <row r="8" spans="2:14" ht="19.2" thickTop="1" thickBot="1">
      <c r="B8" s="10">
        <v>45719</v>
      </c>
      <c r="C8" s="11" t="s">
        <v>17</v>
      </c>
      <c r="D8" s="11">
        <v>1105</v>
      </c>
      <c r="E8" s="11" t="s">
        <v>15</v>
      </c>
      <c r="F8" s="56"/>
      <c r="G8" s="56">
        <v>12000000</v>
      </c>
      <c r="H8" s="1"/>
      <c r="I8" s="1"/>
    </row>
    <row r="9" spans="2:14" ht="19.2" thickTop="1" thickBot="1">
      <c r="B9" s="10">
        <v>45721</v>
      </c>
      <c r="C9" s="11" t="s">
        <v>19</v>
      </c>
      <c r="D9" s="11">
        <v>1435</v>
      </c>
      <c r="E9" s="11" t="s">
        <v>20</v>
      </c>
      <c r="F9" s="56">
        <v>6000000</v>
      </c>
      <c r="G9" s="56"/>
      <c r="H9" s="1"/>
      <c r="I9" s="1"/>
    </row>
    <row r="10" spans="2:14" ht="19.2" thickTop="1" thickBot="1">
      <c r="B10" s="10">
        <v>45721</v>
      </c>
      <c r="C10" s="11" t="s">
        <v>19</v>
      </c>
      <c r="D10" s="11">
        <v>2205</v>
      </c>
      <c r="E10" s="11" t="s">
        <v>63</v>
      </c>
      <c r="F10" s="56"/>
      <c r="G10" s="56">
        <v>6000000</v>
      </c>
      <c r="H10" s="1"/>
      <c r="I10" s="1"/>
    </row>
    <row r="11" spans="2:14" s="3" customFormat="1" ht="19.2" thickTop="1" thickBot="1">
      <c r="B11" s="10">
        <v>45726</v>
      </c>
      <c r="C11" s="11" t="s">
        <v>53</v>
      </c>
      <c r="D11" s="11">
        <v>1105</v>
      </c>
      <c r="E11" s="11" t="s">
        <v>15</v>
      </c>
      <c r="F11" s="56">
        <v>4000000</v>
      </c>
      <c r="G11" s="56"/>
      <c r="H11" s="2"/>
      <c r="I11" s="2"/>
    </row>
    <row r="12" spans="2:14" s="3" customFormat="1" ht="19.2" thickTop="1" thickBot="1">
      <c r="B12" s="10">
        <v>45726</v>
      </c>
      <c r="C12" s="11" t="s">
        <v>53</v>
      </c>
      <c r="D12" s="11">
        <v>4135</v>
      </c>
      <c r="E12" s="11" t="s">
        <v>65</v>
      </c>
      <c r="F12" s="56"/>
      <c r="G12" s="56">
        <v>4000000</v>
      </c>
      <c r="H12" s="2"/>
      <c r="I12" s="2"/>
    </row>
    <row r="13" spans="2:14" ht="19.2" thickTop="1" thickBot="1">
      <c r="B13" s="10">
        <v>45726</v>
      </c>
      <c r="C13" s="11" t="s">
        <v>23</v>
      </c>
      <c r="D13" s="11">
        <v>6135</v>
      </c>
      <c r="E13" s="11" t="s">
        <v>21</v>
      </c>
      <c r="F13" s="56">
        <v>2400000</v>
      </c>
      <c r="G13" s="56"/>
      <c r="H13" s="1"/>
      <c r="I13" s="1"/>
    </row>
    <row r="14" spans="2:14" ht="19.2" thickTop="1" thickBot="1">
      <c r="B14" s="10">
        <v>45726</v>
      </c>
      <c r="C14" s="11" t="s">
        <v>23</v>
      </c>
      <c r="D14" s="11">
        <v>1435</v>
      </c>
      <c r="E14" s="11" t="s">
        <v>20</v>
      </c>
      <c r="F14" s="56"/>
      <c r="G14" s="56">
        <v>2400000</v>
      </c>
      <c r="H14" s="1"/>
      <c r="I14" s="1"/>
    </row>
    <row r="15" spans="2:14" ht="19.2" thickTop="1" thickBot="1">
      <c r="B15" s="10">
        <v>45738</v>
      </c>
      <c r="C15" s="11" t="s">
        <v>57</v>
      </c>
      <c r="D15" s="11">
        <v>5135</v>
      </c>
      <c r="E15" s="11" t="s">
        <v>49</v>
      </c>
      <c r="F15" s="56">
        <v>150000</v>
      </c>
      <c r="G15" s="56"/>
      <c r="H15" s="1"/>
      <c r="I15" s="1"/>
    </row>
    <row r="16" spans="2:14" ht="19.2" thickTop="1" thickBot="1">
      <c r="B16" s="12">
        <v>45738</v>
      </c>
      <c r="C16" s="11" t="s">
        <v>57</v>
      </c>
      <c r="D16" s="11">
        <v>1105</v>
      </c>
      <c r="E16" s="11" t="s">
        <v>15</v>
      </c>
      <c r="F16" s="56"/>
      <c r="G16" s="56">
        <v>150000</v>
      </c>
      <c r="H16" s="1"/>
      <c r="I16" s="1"/>
      <c r="N16" t="s">
        <v>13</v>
      </c>
    </row>
    <row r="17" spans="2:9" ht="19.2" thickTop="1" thickBot="1">
      <c r="B17" s="12">
        <v>45748</v>
      </c>
      <c r="C17" s="11" t="s">
        <v>58</v>
      </c>
      <c r="D17" s="11">
        <v>5220</v>
      </c>
      <c r="E17" s="11" t="s">
        <v>60</v>
      </c>
      <c r="F17" s="56">
        <v>900000</v>
      </c>
      <c r="G17" s="56"/>
      <c r="H17" s="1"/>
      <c r="I17" s="1"/>
    </row>
    <row r="18" spans="2:9" ht="19.2" thickTop="1" thickBot="1">
      <c r="B18" s="12">
        <v>45748</v>
      </c>
      <c r="C18" s="11" t="s">
        <v>58</v>
      </c>
      <c r="D18" s="11">
        <v>1105</v>
      </c>
      <c r="E18" s="11" t="s">
        <v>15</v>
      </c>
      <c r="F18" s="56"/>
      <c r="G18" s="56">
        <v>900000</v>
      </c>
      <c r="H18" s="1"/>
      <c r="I18" s="1"/>
    </row>
    <row r="19" spans="2:9" ht="19.2" thickTop="1" thickBot="1">
      <c r="B19" s="10">
        <v>45761</v>
      </c>
      <c r="C19" s="11" t="s">
        <v>25</v>
      </c>
      <c r="D19" s="11">
        <v>2205</v>
      </c>
      <c r="E19" s="11" t="s">
        <v>64</v>
      </c>
      <c r="F19" s="56">
        <v>3000000</v>
      </c>
      <c r="G19" s="56"/>
      <c r="H19" s="1"/>
      <c r="I19" s="1"/>
    </row>
    <row r="20" spans="2:9" ht="19.2" thickTop="1" thickBot="1">
      <c r="B20" s="12">
        <v>45761</v>
      </c>
      <c r="C20" s="11" t="s">
        <v>25</v>
      </c>
      <c r="D20" s="11">
        <v>1105</v>
      </c>
      <c r="E20" s="11" t="s">
        <v>15</v>
      </c>
      <c r="F20" s="56"/>
      <c r="G20" s="56">
        <v>3000000</v>
      </c>
      <c r="H20" s="1"/>
      <c r="I20" s="1"/>
    </row>
    <row r="21" spans="2:9" ht="19.2" thickTop="1" thickBot="1">
      <c r="B21" s="12">
        <v>45772</v>
      </c>
      <c r="C21" s="11" t="s">
        <v>26</v>
      </c>
      <c r="D21" s="11">
        <v>1305</v>
      </c>
      <c r="E21" s="11" t="s">
        <v>27</v>
      </c>
      <c r="F21" s="56">
        <v>5000000</v>
      </c>
      <c r="G21" s="56"/>
      <c r="H21" s="1"/>
      <c r="I21" s="1"/>
    </row>
    <row r="22" spans="2:9" ht="19.2" thickTop="1" thickBot="1">
      <c r="B22" s="10">
        <v>45772</v>
      </c>
      <c r="C22" s="11" t="s">
        <v>26</v>
      </c>
      <c r="D22" s="11">
        <v>4135</v>
      </c>
      <c r="E22" s="11" t="s">
        <v>65</v>
      </c>
      <c r="F22" s="56"/>
      <c r="G22" s="56">
        <v>5000000</v>
      </c>
      <c r="H22" s="1"/>
      <c r="I22" s="1"/>
    </row>
    <row r="23" spans="2:9" ht="19.2" thickTop="1" thickBot="1">
      <c r="B23" s="10">
        <v>45772</v>
      </c>
      <c r="C23" s="11" t="s">
        <v>23</v>
      </c>
      <c r="D23" s="11">
        <v>6135</v>
      </c>
      <c r="E23" s="11" t="s">
        <v>29</v>
      </c>
      <c r="F23" s="56">
        <v>3000000</v>
      </c>
      <c r="G23" s="56"/>
      <c r="H23" s="1"/>
      <c r="I23" s="1"/>
    </row>
    <row r="24" spans="2:9" ht="19.2" thickTop="1" thickBot="1">
      <c r="B24" s="10">
        <v>45772</v>
      </c>
      <c r="C24" s="11" t="s">
        <v>59</v>
      </c>
      <c r="D24" s="11">
        <v>1435</v>
      </c>
      <c r="E24" s="11" t="s">
        <v>20</v>
      </c>
      <c r="F24" s="58"/>
      <c r="G24" s="58">
        <v>3000000</v>
      </c>
      <c r="H24" s="1"/>
      <c r="I24" s="1"/>
    </row>
    <row r="25" spans="2:9" ht="19.2" thickTop="1" thickBot="1">
      <c r="B25" s="12">
        <v>45782</v>
      </c>
      <c r="C25" s="11" t="s">
        <v>30</v>
      </c>
      <c r="D25" s="11">
        <v>1710</v>
      </c>
      <c r="E25" s="11" t="s">
        <v>61</v>
      </c>
      <c r="F25" s="58">
        <v>80000</v>
      </c>
      <c r="G25" s="58"/>
      <c r="H25" s="1"/>
      <c r="I25" s="1"/>
    </row>
    <row r="26" spans="2:9" ht="19.2" thickTop="1" thickBot="1">
      <c r="B26" s="12">
        <v>45782</v>
      </c>
      <c r="C26" s="11" t="s">
        <v>30</v>
      </c>
      <c r="D26" s="11">
        <v>1105</v>
      </c>
      <c r="E26" s="11" t="s">
        <v>15</v>
      </c>
      <c r="F26" s="58"/>
      <c r="G26" s="58">
        <v>800000</v>
      </c>
      <c r="H26" s="1"/>
      <c r="I26" s="1"/>
    </row>
    <row r="27" spans="2:9" ht="19.2" thickTop="1" thickBot="1">
      <c r="B27" s="12">
        <v>45795</v>
      </c>
      <c r="C27" s="11" t="s">
        <v>31</v>
      </c>
      <c r="D27" s="11">
        <v>1105</v>
      </c>
      <c r="E27" s="11" t="s">
        <v>32</v>
      </c>
      <c r="F27" s="58">
        <v>3000000</v>
      </c>
      <c r="G27" s="58"/>
      <c r="H27" s="1"/>
      <c r="I27" s="1"/>
    </row>
    <row r="28" spans="2:9" ht="19.2" thickTop="1" thickBot="1">
      <c r="B28" s="12">
        <v>45795</v>
      </c>
      <c r="C28" s="11" t="s">
        <v>31</v>
      </c>
      <c r="D28" s="11">
        <v>1305</v>
      </c>
      <c r="E28" s="11" t="s">
        <v>27</v>
      </c>
      <c r="F28" s="58"/>
      <c r="G28" s="58">
        <v>3000000</v>
      </c>
      <c r="H28" s="1"/>
      <c r="I28" s="1"/>
    </row>
    <row r="29" spans="2:9" ht="19.2" thickTop="1" thickBot="1">
      <c r="B29" s="12">
        <v>45807</v>
      </c>
      <c r="C29" s="11" t="s">
        <v>33</v>
      </c>
      <c r="D29" s="11">
        <v>5135</v>
      </c>
      <c r="E29" s="11" t="s">
        <v>49</v>
      </c>
      <c r="F29" s="58">
        <v>100000</v>
      </c>
      <c r="G29" s="58"/>
      <c r="H29" s="1"/>
      <c r="I29" s="1"/>
    </row>
    <row r="30" spans="2:9" ht="19.2" thickTop="1" thickBot="1">
      <c r="B30" s="10">
        <v>45807</v>
      </c>
      <c r="C30" s="11" t="s">
        <v>33</v>
      </c>
      <c r="D30" s="11">
        <v>1105</v>
      </c>
      <c r="E30" s="11" t="s">
        <v>15</v>
      </c>
      <c r="F30" s="58"/>
      <c r="G30" s="58">
        <v>100000</v>
      </c>
      <c r="H30" s="1"/>
      <c r="I30" s="1"/>
    </row>
    <row r="31" spans="2:9" ht="19.2" thickTop="1" thickBot="1">
      <c r="B31" s="12">
        <v>45812</v>
      </c>
      <c r="C31" s="11" t="s">
        <v>34</v>
      </c>
      <c r="D31" s="11">
        <v>1435</v>
      </c>
      <c r="E31" s="11" t="s">
        <v>20</v>
      </c>
      <c r="F31" s="58">
        <v>8000000</v>
      </c>
      <c r="G31" s="58"/>
      <c r="H31" s="1"/>
      <c r="I31" s="1"/>
    </row>
    <row r="32" spans="2:9" ht="19.2" thickTop="1" thickBot="1">
      <c r="B32" s="10">
        <v>45812</v>
      </c>
      <c r="C32" s="11" t="s">
        <v>35</v>
      </c>
      <c r="D32" s="11">
        <v>1105</v>
      </c>
      <c r="E32" s="11" t="s">
        <v>32</v>
      </c>
      <c r="F32" s="58"/>
      <c r="G32" s="58">
        <v>4000000</v>
      </c>
      <c r="H32" s="1"/>
      <c r="I32" s="1"/>
    </row>
    <row r="33" spans="2:9" ht="19.2" thickTop="1" thickBot="1">
      <c r="B33" s="12">
        <v>45812</v>
      </c>
      <c r="C33" s="11" t="s">
        <v>36</v>
      </c>
      <c r="D33" s="11">
        <v>2205</v>
      </c>
      <c r="E33" s="11" t="s">
        <v>64</v>
      </c>
      <c r="F33" s="58"/>
      <c r="G33" s="58">
        <v>4000000</v>
      </c>
      <c r="H33" s="1"/>
      <c r="I33" s="1"/>
    </row>
    <row r="34" spans="2:9" ht="19.2" thickTop="1" thickBot="1">
      <c r="B34" s="12">
        <v>45830</v>
      </c>
      <c r="C34" s="11" t="s">
        <v>37</v>
      </c>
      <c r="D34" s="11">
        <v>1105</v>
      </c>
      <c r="E34" s="11" t="s">
        <v>15</v>
      </c>
      <c r="F34" s="58">
        <v>7000000</v>
      </c>
      <c r="G34" s="58"/>
      <c r="H34" s="1"/>
      <c r="I34" s="1"/>
    </row>
    <row r="35" spans="2:9" ht="19.2" thickTop="1" thickBot="1">
      <c r="B35" s="12">
        <v>45830</v>
      </c>
      <c r="C35" s="11" t="s">
        <v>37</v>
      </c>
      <c r="D35" s="11">
        <v>4135</v>
      </c>
      <c r="E35" s="11" t="s">
        <v>65</v>
      </c>
      <c r="F35" s="58"/>
      <c r="G35" s="58">
        <v>7000000</v>
      </c>
      <c r="H35" s="1"/>
      <c r="I35" s="1"/>
    </row>
    <row r="36" spans="2:9" ht="19.2" thickTop="1" thickBot="1">
      <c r="B36" s="10">
        <v>45830</v>
      </c>
      <c r="C36" s="11" t="s">
        <v>23</v>
      </c>
      <c r="D36" s="11">
        <v>6135</v>
      </c>
      <c r="E36" s="11" t="s">
        <v>28</v>
      </c>
      <c r="F36" s="58">
        <v>4200000</v>
      </c>
      <c r="G36" s="58"/>
      <c r="H36" s="1"/>
      <c r="I36" s="1"/>
    </row>
    <row r="37" spans="2:9" ht="19.2" thickTop="1" thickBot="1">
      <c r="B37" s="12">
        <v>45830</v>
      </c>
      <c r="C37" s="11" t="s">
        <v>21</v>
      </c>
      <c r="D37" s="11">
        <v>1435</v>
      </c>
      <c r="E37" s="11" t="s">
        <v>20</v>
      </c>
      <c r="F37" s="58"/>
      <c r="G37" s="58">
        <v>4200000</v>
      </c>
      <c r="H37" s="1"/>
      <c r="I37" s="1"/>
    </row>
    <row r="38" spans="2:9" ht="19.2" thickTop="1" thickBot="1">
      <c r="B38" s="12">
        <v>45848</v>
      </c>
      <c r="C38" s="11" t="s">
        <v>38</v>
      </c>
      <c r="D38" s="11">
        <v>5105</v>
      </c>
      <c r="E38" s="11" t="s">
        <v>66</v>
      </c>
      <c r="F38" s="58">
        <v>1200000</v>
      </c>
      <c r="G38" s="58"/>
      <c r="H38" s="1"/>
      <c r="I38" s="1"/>
    </row>
    <row r="39" spans="2:9" ht="19.2" thickTop="1" thickBot="1">
      <c r="B39" s="12">
        <v>45848</v>
      </c>
      <c r="C39" s="11" t="s">
        <v>38</v>
      </c>
      <c r="D39" s="11">
        <v>1105</v>
      </c>
      <c r="E39" s="11" t="s">
        <v>15</v>
      </c>
      <c r="F39" s="58"/>
      <c r="G39" s="58">
        <v>1200000</v>
      </c>
      <c r="H39" s="1"/>
      <c r="I39" s="1"/>
    </row>
    <row r="40" spans="2:9" ht="19.2" thickTop="1" thickBot="1">
      <c r="B40" s="12">
        <v>45868</v>
      </c>
      <c r="C40" s="11" t="s">
        <v>39</v>
      </c>
      <c r="D40" s="11">
        <v>5135</v>
      </c>
      <c r="E40" s="11" t="s">
        <v>49</v>
      </c>
      <c r="F40" s="58">
        <v>140000</v>
      </c>
      <c r="G40" s="58"/>
      <c r="H40" s="1"/>
      <c r="I40" s="1"/>
    </row>
    <row r="41" spans="2:9" ht="19.2" thickTop="1" thickBot="1">
      <c r="B41" s="12">
        <v>45868</v>
      </c>
      <c r="C41" s="11" t="s">
        <v>39</v>
      </c>
      <c r="D41" s="11">
        <v>1105</v>
      </c>
      <c r="E41" s="11" t="s">
        <v>15</v>
      </c>
      <c r="F41" s="58"/>
      <c r="G41" s="58">
        <v>140000</v>
      </c>
      <c r="H41" s="1"/>
      <c r="I41" s="1"/>
    </row>
    <row r="42" spans="2:9" ht="19.2" thickTop="1" thickBot="1">
      <c r="B42" s="10">
        <v>45874</v>
      </c>
      <c r="C42" s="11" t="s">
        <v>40</v>
      </c>
      <c r="D42" s="11">
        <v>1305</v>
      </c>
      <c r="E42" s="11" t="s">
        <v>27</v>
      </c>
      <c r="F42" s="58">
        <v>6500000</v>
      </c>
      <c r="G42" s="58"/>
      <c r="H42" s="1"/>
      <c r="I42" s="1"/>
    </row>
    <row r="43" spans="2:9" ht="19.2" thickTop="1" thickBot="1">
      <c r="B43" s="12">
        <v>45874</v>
      </c>
      <c r="C43" s="11" t="s">
        <v>40</v>
      </c>
      <c r="D43" s="11">
        <v>4135</v>
      </c>
      <c r="E43" s="11" t="s">
        <v>65</v>
      </c>
      <c r="F43" s="58"/>
      <c r="G43" s="58">
        <v>6500000</v>
      </c>
      <c r="H43" s="1"/>
      <c r="I43" s="1"/>
    </row>
    <row r="44" spans="2:9" ht="19.2" thickTop="1" thickBot="1">
      <c r="B44" s="12">
        <v>45874</v>
      </c>
      <c r="C44" s="11" t="s">
        <v>23</v>
      </c>
      <c r="D44" s="11">
        <v>6135</v>
      </c>
      <c r="E44" s="11" t="s">
        <v>41</v>
      </c>
      <c r="F44" s="58">
        <v>3900000</v>
      </c>
      <c r="G44" s="58"/>
      <c r="H44" s="1"/>
      <c r="I44" s="1"/>
    </row>
    <row r="45" spans="2:9" ht="19.2" thickTop="1" thickBot="1">
      <c r="B45" s="12">
        <v>45874</v>
      </c>
      <c r="C45" s="11" t="s">
        <v>28</v>
      </c>
      <c r="D45" s="11">
        <v>1435</v>
      </c>
      <c r="E45" s="11" t="s">
        <v>20</v>
      </c>
      <c r="F45" s="58"/>
      <c r="G45" s="58">
        <v>3900000</v>
      </c>
      <c r="H45" s="1"/>
      <c r="I45" s="1"/>
    </row>
    <row r="46" spans="2:9" ht="19.2" thickTop="1" thickBot="1">
      <c r="B46" s="12">
        <v>45889</v>
      </c>
      <c r="C46" s="11" t="s">
        <v>42</v>
      </c>
      <c r="D46" s="11">
        <v>1105</v>
      </c>
      <c r="E46" s="11" t="s">
        <v>15</v>
      </c>
      <c r="F46" s="58">
        <v>2500000</v>
      </c>
      <c r="G46" s="58"/>
      <c r="H46" s="1"/>
      <c r="I46" s="1"/>
    </row>
    <row r="47" spans="2:9" ht="19.2" thickTop="1" thickBot="1">
      <c r="B47" s="12">
        <v>45889</v>
      </c>
      <c r="C47" s="11" t="s">
        <v>42</v>
      </c>
      <c r="D47" s="11">
        <v>1305</v>
      </c>
      <c r="E47" s="11" t="s">
        <v>27</v>
      </c>
      <c r="F47" s="58"/>
      <c r="G47" s="58">
        <v>2500000</v>
      </c>
      <c r="H47" s="1"/>
      <c r="I47" s="1"/>
    </row>
    <row r="48" spans="2:9" ht="19.2" thickTop="1" thickBot="1">
      <c r="B48" s="12">
        <v>45903</v>
      </c>
      <c r="C48" s="11" t="s">
        <v>43</v>
      </c>
      <c r="D48" s="11">
        <v>2205</v>
      </c>
      <c r="E48" s="11" t="s">
        <v>64</v>
      </c>
      <c r="F48" s="58">
        <v>2000000</v>
      </c>
      <c r="G48" s="58"/>
      <c r="H48" s="1"/>
      <c r="I48" s="1"/>
    </row>
    <row r="49" spans="2:9" ht="19.2" thickTop="1" thickBot="1">
      <c r="B49" s="12">
        <v>45903</v>
      </c>
      <c r="C49" s="11" t="s">
        <v>43</v>
      </c>
      <c r="D49" s="11">
        <v>1105</v>
      </c>
      <c r="E49" s="11" t="s">
        <v>15</v>
      </c>
      <c r="F49" s="58"/>
      <c r="G49" s="58">
        <v>2000000</v>
      </c>
      <c r="H49" s="1"/>
      <c r="I49" s="1"/>
    </row>
    <row r="50" spans="2:9" ht="19.2" thickTop="1" thickBot="1">
      <c r="B50" s="12">
        <v>45927</v>
      </c>
      <c r="C50" s="11" t="s">
        <v>44</v>
      </c>
      <c r="D50" s="11">
        <v>5220</v>
      </c>
      <c r="E50" s="11" t="s">
        <v>60</v>
      </c>
      <c r="F50" s="58">
        <v>900000</v>
      </c>
      <c r="G50" s="58"/>
      <c r="H50" s="1"/>
      <c r="I50" s="1"/>
    </row>
    <row r="51" spans="2:9" ht="19.2" thickTop="1" thickBot="1">
      <c r="B51" s="12">
        <v>45927</v>
      </c>
      <c r="C51" s="11" t="s">
        <v>44</v>
      </c>
      <c r="D51" s="11">
        <v>1105</v>
      </c>
      <c r="E51" s="11" t="s">
        <v>15</v>
      </c>
      <c r="F51" s="58"/>
      <c r="G51" s="58">
        <v>900000</v>
      </c>
      <c r="H51" s="1"/>
      <c r="I51" s="1"/>
    </row>
    <row r="52" spans="2:9" ht="19.2" thickTop="1" thickBot="1">
      <c r="B52" s="12">
        <v>45940</v>
      </c>
      <c r="C52" s="11" t="s">
        <v>45</v>
      </c>
      <c r="D52" s="11">
        <v>1499</v>
      </c>
      <c r="E52" s="11" t="s">
        <v>46</v>
      </c>
      <c r="F52" s="58">
        <v>200000</v>
      </c>
      <c r="G52" s="58"/>
      <c r="H52" s="1"/>
      <c r="I52" s="1"/>
    </row>
    <row r="53" spans="2:9" ht="19.2" thickTop="1" thickBot="1">
      <c r="B53" s="12">
        <v>45940</v>
      </c>
      <c r="C53" s="11" t="s">
        <v>45</v>
      </c>
      <c r="D53" s="11">
        <v>1435</v>
      </c>
      <c r="E53" s="11" t="s">
        <v>20</v>
      </c>
      <c r="F53" s="58"/>
      <c r="G53" s="58">
        <v>200000</v>
      </c>
      <c r="H53" s="1"/>
      <c r="I53" s="1"/>
    </row>
    <row r="54" spans="2:9" ht="19.2" thickTop="1" thickBot="1">
      <c r="B54" s="12">
        <v>45962</v>
      </c>
      <c r="C54" s="11" t="s">
        <v>82</v>
      </c>
      <c r="D54" s="11">
        <v>1435</v>
      </c>
      <c r="E54" s="11" t="s">
        <v>81</v>
      </c>
      <c r="F54" s="58">
        <v>6000000</v>
      </c>
      <c r="G54" s="58"/>
      <c r="H54" s="1"/>
      <c r="I54" s="1"/>
    </row>
    <row r="55" spans="2:9" ht="19.2" thickTop="1" thickBot="1">
      <c r="B55" s="12">
        <v>45962</v>
      </c>
      <c r="C55" s="11" t="s">
        <v>83</v>
      </c>
      <c r="D55" s="11">
        <v>1105</v>
      </c>
      <c r="E55" s="11" t="s">
        <v>84</v>
      </c>
      <c r="F55" s="58"/>
      <c r="G55" s="58">
        <v>6000000</v>
      </c>
      <c r="H55" s="1"/>
      <c r="I55" s="1"/>
    </row>
    <row r="56" spans="2:9" ht="19.2" thickTop="1" thickBot="1">
      <c r="B56" s="12">
        <v>45969</v>
      </c>
      <c r="C56" s="11" t="s">
        <v>37</v>
      </c>
      <c r="D56" s="11">
        <v>1105</v>
      </c>
      <c r="E56" s="11" t="s">
        <v>15</v>
      </c>
      <c r="F56" s="58">
        <v>5500000</v>
      </c>
      <c r="G56" s="58"/>
      <c r="H56" s="1"/>
      <c r="I56" s="1"/>
    </row>
    <row r="57" spans="2:9" ht="19.2" thickTop="1" thickBot="1">
      <c r="B57" s="12">
        <v>45969</v>
      </c>
      <c r="C57" s="11" t="s">
        <v>37</v>
      </c>
      <c r="D57" s="11">
        <v>4135</v>
      </c>
      <c r="E57" s="11" t="s">
        <v>65</v>
      </c>
      <c r="F57" s="58"/>
      <c r="G57" s="58">
        <v>5500000</v>
      </c>
      <c r="H57" s="1"/>
      <c r="I57" s="1"/>
    </row>
    <row r="58" spans="2:9" ht="19.2" thickTop="1" thickBot="1">
      <c r="B58" s="12">
        <v>45969</v>
      </c>
      <c r="C58" s="11" t="s">
        <v>23</v>
      </c>
      <c r="D58" s="11">
        <v>6135</v>
      </c>
      <c r="E58" s="11" t="s">
        <v>21</v>
      </c>
      <c r="F58" s="58">
        <v>3300000</v>
      </c>
      <c r="G58" s="58"/>
      <c r="H58" s="1"/>
      <c r="I58" s="1"/>
    </row>
    <row r="59" spans="2:9" ht="19.2" thickTop="1" thickBot="1">
      <c r="B59" s="12">
        <v>45969</v>
      </c>
      <c r="C59" s="11" t="s">
        <v>21</v>
      </c>
      <c r="D59" s="11">
        <v>1435</v>
      </c>
      <c r="E59" s="11" t="s">
        <v>20</v>
      </c>
      <c r="F59" s="58"/>
      <c r="G59" s="58">
        <v>3300000</v>
      </c>
      <c r="H59" s="1"/>
      <c r="I59" s="1"/>
    </row>
    <row r="60" spans="2:9" ht="19.2" thickTop="1" thickBot="1">
      <c r="B60" s="12">
        <v>45986</v>
      </c>
      <c r="C60" s="11" t="s">
        <v>47</v>
      </c>
      <c r="D60" s="11">
        <v>5135</v>
      </c>
      <c r="E60" s="11" t="s">
        <v>49</v>
      </c>
      <c r="F60" s="58">
        <v>200000</v>
      </c>
      <c r="G60" s="58"/>
      <c r="H60" s="1"/>
      <c r="I60" s="1"/>
    </row>
    <row r="61" spans="2:9" ht="19.2" thickTop="1" thickBot="1">
      <c r="B61" s="12">
        <v>45986</v>
      </c>
      <c r="C61" s="11" t="s">
        <v>47</v>
      </c>
      <c r="D61" s="11">
        <v>1105</v>
      </c>
      <c r="E61" s="11" t="s">
        <v>15</v>
      </c>
      <c r="F61" s="58"/>
      <c r="G61" s="58">
        <v>200000</v>
      </c>
      <c r="H61" s="1"/>
      <c r="I61" s="1"/>
    </row>
    <row r="62" spans="2:9" ht="19.2" thickTop="1" thickBot="1">
      <c r="B62" s="12">
        <v>45996</v>
      </c>
      <c r="C62" s="11" t="s">
        <v>48</v>
      </c>
      <c r="D62" s="11">
        <v>5220</v>
      </c>
      <c r="E62" s="11" t="s">
        <v>50</v>
      </c>
      <c r="F62" s="58">
        <v>350000</v>
      </c>
      <c r="G62" s="58"/>
      <c r="H62" s="1"/>
      <c r="I62" s="1"/>
    </row>
    <row r="63" spans="2:9" ht="19.2" thickTop="1" thickBot="1">
      <c r="B63" s="12">
        <v>45996</v>
      </c>
      <c r="C63" s="11" t="s">
        <v>48</v>
      </c>
      <c r="D63" s="11">
        <v>1105</v>
      </c>
      <c r="E63" s="11" t="s">
        <v>15</v>
      </c>
      <c r="F63" s="58"/>
      <c r="G63" s="58">
        <v>350000</v>
      </c>
      <c r="H63" s="1"/>
      <c r="I63" s="1"/>
    </row>
    <row r="64" spans="2:9" ht="19.2" thickTop="1" thickBot="1">
      <c r="B64" s="12">
        <v>46006</v>
      </c>
      <c r="C64" s="11" t="s">
        <v>51</v>
      </c>
      <c r="D64" s="11">
        <v>1105</v>
      </c>
      <c r="E64" s="11" t="s">
        <v>15</v>
      </c>
      <c r="F64" s="58">
        <v>4000000</v>
      </c>
      <c r="G64" s="58"/>
      <c r="H64" s="1"/>
      <c r="I64" s="1"/>
    </row>
    <row r="65" spans="2:9" ht="19.2" thickTop="1" thickBot="1">
      <c r="B65" s="12">
        <v>46006</v>
      </c>
      <c r="C65" s="11" t="s">
        <v>51</v>
      </c>
      <c r="D65" s="11">
        <v>1305</v>
      </c>
      <c r="E65" s="11" t="s">
        <v>27</v>
      </c>
      <c r="F65" s="58"/>
      <c r="G65" s="58">
        <v>4000000</v>
      </c>
      <c r="H65" s="1"/>
      <c r="I65" s="1"/>
    </row>
    <row r="66" spans="2:9" ht="16.2" thickTop="1">
      <c r="C66" s="1"/>
      <c r="D66" s="1"/>
      <c r="E66" s="1"/>
      <c r="F66" s="5"/>
      <c r="G66" s="1"/>
      <c r="H66" s="1"/>
      <c r="I66" s="1"/>
    </row>
    <row r="67" spans="2:9">
      <c r="C67" s="1"/>
      <c r="D67" s="1"/>
      <c r="E67" s="1"/>
      <c r="F67" s="5"/>
      <c r="G67" s="1"/>
      <c r="H67" s="1"/>
      <c r="I67" s="1"/>
    </row>
    <row r="68" spans="2:9">
      <c r="C68" s="1"/>
      <c r="D68" s="1"/>
      <c r="E68" s="1"/>
      <c r="F68" s="5"/>
      <c r="G68" s="1"/>
      <c r="H68" s="1"/>
      <c r="I68" s="1"/>
    </row>
    <row r="69" spans="2:9">
      <c r="C69" s="1"/>
      <c r="D69" s="1"/>
      <c r="E69" s="1"/>
      <c r="F69" s="5"/>
      <c r="G69" s="1"/>
      <c r="H69" s="1"/>
      <c r="I69" s="1"/>
    </row>
  </sheetData>
  <mergeCells count="2">
    <mergeCell ref="B2:G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A8C1-8DD7-41E6-8268-22EBD8B0B548}">
  <dimension ref="B2:X53"/>
  <sheetViews>
    <sheetView tabSelected="1" topLeftCell="A9" zoomScale="78" zoomScaleNormal="126" workbookViewId="0">
      <selection activeCell="L34" sqref="L34"/>
    </sheetView>
  </sheetViews>
  <sheetFormatPr baseColWidth="10" defaultRowHeight="14.4"/>
  <cols>
    <col min="2" max="2" width="11.6640625" bestFit="1" customWidth="1"/>
    <col min="3" max="3" width="45.33203125" customWidth="1"/>
    <col min="4" max="4" width="14.33203125" bestFit="1" customWidth="1"/>
    <col min="5" max="5" width="14.21875" bestFit="1" customWidth="1"/>
    <col min="6" max="6" width="20.88671875" customWidth="1"/>
    <col min="7" max="7" width="6.33203125" customWidth="1"/>
    <col min="8" max="8" width="11.6640625" bestFit="1" customWidth="1"/>
    <col min="9" max="9" width="54.109375" customWidth="1"/>
    <col min="10" max="10" width="16.33203125" bestFit="1" customWidth="1"/>
    <col min="11" max="11" width="16.5546875" customWidth="1"/>
    <col min="12" max="12" width="24.6640625" customWidth="1"/>
    <col min="14" max="14" width="11.6640625" bestFit="1" customWidth="1"/>
    <col min="15" max="15" width="47.44140625" customWidth="1"/>
    <col min="16" max="16" width="15.33203125" bestFit="1" customWidth="1"/>
    <col min="17" max="17" width="20.5546875" customWidth="1"/>
    <col min="18" max="18" width="22.109375" customWidth="1"/>
  </cols>
  <sheetData>
    <row r="2" spans="2:24" ht="34.799999999999997">
      <c r="B2" s="73" t="s">
        <v>6</v>
      </c>
      <c r="C2" s="73"/>
      <c r="D2" s="73"/>
      <c r="E2" s="73"/>
      <c r="F2" s="73"/>
      <c r="H2" s="73" t="s">
        <v>6</v>
      </c>
      <c r="I2" s="73"/>
      <c r="J2" s="73"/>
      <c r="K2" s="73"/>
      <c r="L2" s="73"/>
      <c r="N2" s="73" t="s">
        <v>6</v>
      </c>
      <c r="O2" s="73"/>
      <c r="P2" s="73"/>
      <c r="Q2" s="73"/>
      <c r="R2" s="73"/>
      <c r="T2" s="70" t="s">
        <v>54</v>
      </c>
      <c r="U2" s="71"/>
      <c r="V2" s="71"/>
      <c r="W2" s="71"/>
      <c r="X2" s="72"/>
    </row>
    <row r="3" spans="2:24">
      <c r="B3" s="74" t="s">
        <v>9</v>
      </c>
      <c r="C3" s="74"/>
      <c r="D3" s="74"/>
      <c r="E3" s="74"/>
      <c r="F3" s="74"/>
      <c r="H3" s="74" t="s">
        <v>9</v>
      </c>
      <c r="I3" s="74"/>
      <c r="J3" s="74"/>
      <c r="K3" s="74"/>
      <c r="L3" s="74"/>
      <c r="N3" s="74" t="s">
        <v>9</v>
      </c>
      <c r="O3" s="74"/>
      <c r="P3" s="74"/>
      <c r="Q3" s="74"/>
      <c r="R3" s="74"/>
    </row>
    <row r="4" spans="2:24" ht="18">
      <c r="B4" s="13" t="s">
        <v>8</v>
      </c>
      <c r="C4" s="13" t="s">
        <v>12</v>
      </c>
      <c r="D4" s="14"/>
      <c r="E4" s="15"/>
      <c r="F4" s="15"/>
      <c r="H4" s="23" t="s">
        <v>8</v>
      </c>
      <c r="I4" s="36" t="s">
        <v>67</v>
      </c>
      <c r="J4" s="24"/>
      <c r="K4" s="25"/>
      <c r="L4" s="25"/>
      <c r="N4" s="23" t="s">
        <v>8</v>
      </c>
      <c r="O4" s="23" t="s">
        <v>69</v>
      </c>
      <c r="P4" s="24"/>
      <c r="Q4" s="25"/>
      <c r="R4" s="25"/>
    </row>
    <row r="5" spans="2:24" ht="20.100000000000001" customHeight="1">
      <c r="B5" s="16" t="s">
        <v>0</v>
      </c>
      <c r="C5" s="17" t="s">
        <v>1</v>
      </c>
      <c r="D5" s="17" t="s">
        <v>10</v>
      </c>
      <c r="E5" s="17" t="s">
        <v>5</v>
      </c>
      <c r="F5" s="17" t="s">
        <v>11</v>
      </c>
      <c r="H5" s="17" t="s">
        <v>0</v>
      </c>
      <c r="I5" s="17" t="s">
        <v>1</v>
      </c>
      <c r="J5" s="17" t="s">
        <v>10</v>
      </c>
      <c r="K5" s="17" t="s">
        <v>5</v>
      </c>
      <c r="L5" s="17" t="s">
        <v>11</v>
      </c>
      <c r="N5" s="17" t="s">
        <v>0</v>
      </c>
      <c r="O5" s="17" t="s">
        <v>1</v>
      </c>
      <c r="P5" s="37" t="s">
        <v>10</v>
      </c>
      <c r="Q5" s="17" t="s">
        <v>5</v>
      </c>
      <c r="R5" s="17" t="s">
        <v>11</v>
      </c>
    </row>
    <row r="6" spans="2:24" ht="20.100000000000001" customHeight="1">
      <c r="B6" s="18">
        <v>45717</v>
      </c>
      <c r="C6" s="19" t="s">
        <v>14</v>
      </c>
      <c r="D6" s="20">
        <v>20000000</v>
      </c>
      <c r="E6" s="20"/>
      <c r="F6" s="20">
        <f>D6-E6</f>
        <v>20000000</v>
      </c>
      <c r="H6" s="18">
        <v>45717</v>
      </c>
      <c r="I6" s="19" t="s">
        <v>16</v>
      </c>
      <c r="J6" s="20"/>
      <c r="K6" s="20">
        <v>20000000</v>
      </c>
      <c r="L6" s="20">
        <f>J6-K6</f>
        <v>-20000000</v>
      </c>
      <c r="N6" s="18">
        <v>45719</v>
      </c>
      <c r="O6" s="19" t="s">
        <v>17</v>
      </c>
      <c r="P6" s="20">
        <v>12000000</v>
      </c>
      <c r="Q6" s="20"/>
      <c r="R6" s="20">
        <f>P6</f>
        <v>12000000</v>
      </c>
    </row>
    <row r="7" spans="2:24" ht="20.100000000000001" customHeight="1">
      <c r="B7" s="18">
        <v>45719</v>
      </c>
      <c r="C7" s="19" t="s">
        <v>17</v>
      </c>
      <c r="D7" s="20"/>
      <c r="E7" s="20">
        <v>12000000</v>
      </c>
      <c r="F7" s="20">
        <f>F6+D7-E7</f>
        <v>8000000</v>
      </c>
      <c r="H7" s="26"/>
      <c r="I7" s="22"/>
      <c r="J7" s="20"/>
      <c r="K7" s="20"/>
      <c r="L7" s="20">
        <f>L6+J7-K7</f>
        <v>-20000000</v>
      </c>
      <c r="N7" s="26"/>
      <c r="O7" s="22"/>
      <c r="P7" s="20"/>
      <c r="Q7" s="20"/>
      <c r="R7" s="20">
        <f>R6+P7-Q7</f>
        <v>12000000</v>
      </c>
    </row>
    <row r="8" spans="2:24" ht="20.100000000000001" customHeight="1">
      <c r="B8" s="18">
        <v>45726</v>
      </c>
      <c r="C8" s="19" t="s">
        <v>53</v>
      </c>
      <c r="D8" s="20">
        <v>4000000</v>
      </c>
      <c r="E8" s="20"/>
      <c r="F8" s="20">
        <f t="shared" ref="F8:F26" si="0">F7+D8-E8</f>
        <v>12000000</v>
      </c>
      <c r="H8" s="7"/>
      <c r="I8" s="8"/>
      <c r="J8" s="9"/>
      <c r="K8" s="9"/>
      <c r="L8" s="9"/>
      <c r="N8" s="7"/>
      <c r="O8" s="8"/>
      <c r="P8" s="9"/>
      <c r="Q8" s="9"/>
      <c r="R8" s="9"/>
    </row>
    <row r="9" spans="2:24" ht="34.799999999999997" customHeight="1">
      <c r="B9" s="21">
        <v>45738</v>
      </c>
      <c r="C9" s="19" t="s">
        <v>22</v>
      </c>
      <c r="D9" s="20"/>
      <c r="E9" s="20">
        <v>150000</v>
      </c>
      <c r="F9" s="20">
        <f t="shared" si="0"/>
        <v>11850000</v>
      </c>
      <c r="H9" s="69" t="s">
        <v>55</v>
      </c>
      <c r="I9" s="69"/>
      <c r="J9" s="69"/>
      <c r="K9" s="69"/>
      <c r="L9" s="69"/>
      <c r="N9" s="75" t="s">
        <v>55</v>
      </c>
      <c r="O9" s="75"/>
      <c r="P9" s="75"/>
      <c r="Q9" s="75"/>
      <c r="R9" s="75"/>
    </row>
    <row r="10" spans="2:24" ht="20.100000000000001" customHeight="1">
      <c r="B10" s="21">
        <v>45748</v>
      </c>
      <c r="C10" s="22" t="s">
        <v>24</v>
      </c>
      <c r="D10" s="20"/>
      <c r="E10" s="20">
        <v>900000</v>
      </c>
      <c r="F10" s="20">
        <f t="shared" si="0"/>
        <v>10950000</v>
      </c>
      <c r="H10" s="68" t="s">
        <v>9</v>
      </c>
      <c r="I10" s="68"/>
      <c r="J10" s="68"/>
      <c r="K10" s="68"/>
      <c r="L10" s="68"/>
      <c r="N10" s="68" t="s">
        <v>9</v>
      </c>
      <c r="O10" s="68"/>
      <c r="P10" s="68"/>
      <c r="Q10" s="68"/>
      <c r="R10" s="68"/>
    </row>
    <row r="11" spans="2:24" ht="20.100000000000001" customHeight="1">
      <c r="B11" s="21">
        <v>45761</v>
      </c>
      <c r="C11" s="19" t="s">
        <v>25</v>
      </c>
      <c r="D11" s="20"/>
      <c r="E11" s="20">
        <v>3000000</v>
      </c>
      <c r="F11" s="20">
        <f t="shared" si="0"/>
        <v>7950000</v>
      </c>
      <c r="H11" s="35" t="s">
        <v>8</v>
      </c>
      <c r="I11" s="35" t="s">
        <v>68</v>
      </c>
      <c r="J11" s="32"/>
      <c r="K11" s="32"/>
      <c r="L11" s="32"/>
      <c r="N11" s="35" t="s">
        <v>8</v>
      </c>
      <c r="O11" s="35" t="s">
        <v>70</v>
      </c>
      <c r="P11" s="38"/>
      <c r="Q11" s="38"/>
      <c r="R11" s="38"/>
    </row>
    <row r="12" spans="2:24" ht="20.100000000000001" customHeight="1">
      <c r="B12" s="21">
        <v>45782</v>
      </c>
      <c r="C12" s="19" t="s">
        <v>30</v>
      </c>
      <c r="D12" s="20"/>
      <c r="E12" s="20">
        <v>80000</v>
      </c>
      <c r="F12" s="20">
        <f t="shared" si="0"/>
        <v>7870000</v>
      </c>
      <c r="H12" s="33" t="s">
        <v>0</v>
      </c>
      <c r="I12" s="33" t="s">
        <v>56</v>
      </c>
      <c r="J12" s="34" t="s">
        <v>4</v>
      </c>
      <c r="K12" s="34" t="s">
        <v>5</v>
      </c>
      <c r="L12" s="34" t="s">
        <v>11</v>
      </c>
      <c r="N12" s="33" t="s">
        <v>0</v>
      </c>
      <c r="O12" s="33" t="s">
        <v>1</v>
      </c>
      <c r="P12" s="34" t="s">
        <v>10</v>
      </c>
      <c r="Q12" s="34" t="s">
        <v>5</v>
      </c>
      <c r="R12" s="34" t="s">
        <v>11</v>
      </c>
    </row>
    <row r="13" spans="2:24" ht="20.100000000000001" customHeight="1">
      <c r="B13" s="21">
        <v>45795</v>
      </c>
      <c r="C13" s="19" t="s">
        <v>31</v>
      </c>
      <c r="D13" s="20">
        <v>3000000</v>
      </c>
      <c r="E13" s="20"/>
      <c r="F13" s="20">
        <f t="shared" si="0"/>
        <v>10870000</v>
      </c>
      <c r="H13" s="28">
        <v>45721</v>
      </c>
      <c r="I13" s="31" t="s">
        <v>19</v>
      </c>
      <c r="J13" s="42">
        <v>6000000</v>
      </c>
      <c r="K13" s="42"/>
      <c r="L13" s="41">
        <f>K13+J13</f>
        <v>6000000</v>
      </c>
      <c r="N13" s="28">
        <v>45721</v>
      </c>
      <c r="O13" s="29" t="s">
        <v>19</v>
      </c>
      <c r="P13" s="43"/>
      <c r="Q13" s="43">
        <v>6000000</v>
      </c>
      <c r="R13" s="43">
        <f>P13-Q13</f>
        <v>-6000000</v>
      </c>
    </row>
    <row r="14" spans="2:24" ht="20.100000000000001" customHeight="1">
      <c r="B14" s="18">
        <v>45807</v>
      </c>
      <c r="C14" s="19" t="s">
        <v>33</v>
      </c>
      <c r="D14" s="20"/>
      <c r="E14" s="20">
        <v>100000</v>
      </c>
      <c r="F14" s="20">
        <f t="shared" si="0"/>
        <v>10770000</v>
      </c>
      <c r="H14" s="28">
        <v>45726</v>
      </c>
      <c r="I14" s="31" t="s">
        <v>21</v>
      </c>
      <c r="J14" s="42"/>
      <c r="K14" s="42">
        <v>2400000</v>
      </c>
      <c r="L14" s="41">
        <f>L13+J14-K14</f>
        <v>3600000</v>
      </c>
      <c r="N14" s="28">
        <v>45761</v>
      </c>
      <c r="O14" s="29" t="s">
        <v>25</v>
      </c>
      <c r="P14" s="43">
        <v>3000000</v>
      </c>
      <c r="Q14" s="43"/>
      <c r="R14" s="43">
        <f>R13+P14-Q14</f>
        <v>-3000000</v>
      </c>
    </row>
    <row r="15" spans="2:24" ht="20.100000000000001" customHeight="1">
      <c r="B15" s="18">
        <v>45812</v>
      </c>
      <c r="C15" s="19" t="s">
        <v>35</v>
      </c>
      <c r="D15" s="20"/>
      <c r="E15" s="20">
        <v>4000000</v>
      </c>
      <c r="F15" s="20">
        <f t="shared" si="0"/>
        <v>6770000</v>
      </c>
      <c r="H15" s="28">
        <v>45772</v>
      </c>
      <c r="I15" s="31" t="s">
        <v>59</v>
      </c>
      <c r="J15" s="42"/>
      <c r="K15" s="42">
        <v>3000000</v>
      </c>
      <c r="L15" s="41">
        <f t="shared" ref="L15:L19" si="1">L14+J15-K15</f>
        <v>600000</v>
      </c>
      <c r="N15" s="30">
        <v>45812</v>
      </c>
      <c r="O15" s="29" t="s">
        <v>36</v>
      </c>
      <c r="P15" s="43"/>
      <c r="Q15" s="43">
        <v>4000000</v>
      </c>
      <c r="R15" s="43">
        <f t="shared" ref="R15:R17" si="2">R14+P15-Q15</f>
        <v>-7000000</v>
      </c>
    </row>
    <row r="16" spans="2:24" ht="20.100000000000001" customHeight="1">
      <c r="B16" s="21">
        <v>45830</v>
      </c>
      <c r="C16" s="19" t="s">
        <v>37</v>
      </c>
      <c r="D16" s="20">
        <v>7000000</v>
      </c>
      <c r="E16" s="20"/>
      <c r="F16" s="20">
        <f t="shared" si="0"/>
        <v>13770000</v>
      </c>
      <c r="H16" s="30">
        <v>45812</v>
      </c>
      <c r="I16" s="31" t="s">
        <v>34</v>
      </c>
      <c r="J16" s="42">
        <v>8000000</v>
      </c>
      <c r="K16" s="42"/>
      <c r="L16" s="41">
        <f t="shared" si="1"/>
        <v>8600000</v>
      </c>
      <c r="N16" s="30">
        <v>45903</v>
      </c>
      <c r="O16" s="29" t="s">
        <v>43</v>
      </c>
      <c r="P16" s="43">
        <v>2000000</v>
      </c>
      <c r="Q16" s="43"/>
      <c r="R16" s="43">
        <f t="shared" si="2"/>
        <v>-5000000</v>
      </c>
    </row>
    <row r="17" spans="2:18" ht="20.100000000000001" customHeight="1">
      <c r="B17" s="21">
        <v>45848</v>
      </c>
      <c r="C17" s="19" t="s">
        <v>38</v>
      </c>
      <c r="D17" s="20"/>
      <c r="E17" s="20">
        <v>1200000</v>
      </c>
      <c r="F17" s="20">
        <f t="shared" si="0"/>
        <v>12570000</v>
      </c>
      <c r="H17" s="30">
        <v>45830</v>
      </c>
      <c r="I17" s="31" t="s">
        <v>21</v>
      </c>
      <c r="J17" s="42"/>
      <c r="K17" s="42">
        <v>4200000</v>
      </c>
      <c r="L17" s="41">
        <f t="shared" si="1"/>
        <v>4400000</v>
      </c>
      <c r="N17" s="27"/>
      <c r="O17" s="27"/>
      <c r="P17" s="43"/>
      <c r="Q17" s="43"/>
      <c r="R17" s="43">
        <f t="shared" si="2"/>
        <v>-5000000</v>
      </c>
    </row>
    <row r="18" spans="2:18" ht="19.8" customHeight="1">
      <c r="B18" s="21">
        <v>45868</v>
      </c>
      <c r="C18" s="19" t="s">
        <v>39</v>
      </c>
      <c r="D18" s="20"/>
      <c r="E18" s="20">
        <v>140000</v>
      </c>
      <c r="F18" s="20">
        <f t="shared" si="0"/>
        <v>12430000</v>
      </c>
      <c r="H18" s="30">
        <v>45874</v>
      </c>
      <c r="I18" s="31" t="s">
        <v>28</v>
      </c>
      <c r="J18" s="42"/>
      <c r="K18" s="42">
        <v>3900000</v>
      </c>
      <c r="L18" s="41">
        <f t="shared" si="1"/>
        <v>500000</v>
      </c>
      <c r="N18" s="8"/>
      <c r="O18" s="8"/>
      <c r="P18" s="9"/>
      <c r="Q18" s="9"/>
      <c r="R18" s="9"/>
    </row>
    <row r="19" spans="2:18" ht="31.8" customHeight="1" thickBot="1">
      <c r="B19" s="21">
        <v>45889</v>
      </c>
      <c r="C19" s="19" t="s">
        <v>42</v>
      </c>
      <c r="D19" s="20">
        <v>2500000</v>
      </c>
      <c r="E19" s="20"/>
      <c r="F19" s="20">
        <f t="shared" si="0"/>
        <v>14930000</v>
      </c>
      <c r="H19" s="30">
        <v>45940</v>
      </c>
      <c r="I19" s="31" t="s">
        <v>45</v>
      </c>
      <c r="J19" s="42"/>
      <c r="K19" s="42">
        <v>200000</v>
      </c>
      <c r="L19" s="41">
        <f t="shared" si="1"/>
        <v>300000</v>
      </c>
      <c r="N19" s="67" t="s">
        <v>55</v>
      </c>
      <c r="O19" s="67"/>
      <c r="P19" s="67"/>
      <c r="Q19" s="67"/>
      <c r="R19" s="67"/>
    </row>
    <row r="20" spans="2:18" ht="20.100000000000001" customHeight="1" thickTop="1" thickBot="1">
      <c r="B20" s="21">
        <v>45903</v>
      </c>
      <c r="C20" s="19" t="s">
        <v>43</v>
      </c>
      <c r="D20" s="20"/>
      <c r="E20" s="20">
        <v>2000000</v>
      </c>
      <c r="F20" s="20">
        <f t="shared" si="0"/>
        <v>12930000</v>
      </c>
      <c r="H20" s="12">
        <v>45962</v>
      </c>
      <c r="I20" s="11" t="s">
        <v>82</v>
      </c>
      <c r="J20" s="42">
        <v>6000000</v>
      </c>
      <c r="K20" s="42"/>
      <c r="L20" s="41">
        <f>L19+J20-K20</f>
        <v>6300000</v>
      </c>
      <c r="N20" s="68" t="s">
        <v>9</v>
      </c>
      <c r="O20" s="68"/>
      <c r="P20" s="68"/>
      <c r="Q20" s="68"/>
      <c r="R20" s="68"/>
    </row>
    <row r="21" spans="2:18" ht="20.100000000000001" customHeight="1" thickTop="1" thickBot="1">
      <c r="B21" s="83">
        <v>45927</v>
      </c>
      <c r="C21" s="19" t="s">
        <v>44</v>
      </c>
      <c r="D21" s="20"/>
      <c r="E21" s="20">
        <v>900000</v>
      </c>
      <c r="F21" s="20">
        <f t="shared" si="0"/>
        <v>12030000</v>
      </c>
      <c r="H21" s="30">
        <v>45969</v>
      </c>
      <c r="I21" s="31" t="s">
        <v>21</v>
      </c>
      <c r="J21" s="42"/>
      <c r="K21" s="42">
        <v>3300000</v>
      </c>
      <c r="L21" s="41">
        <f>L20+J21-K21</f>
        <v>3000000</v>
      </c>
      <c r="N21" s="35" t="s">
        <v>8</v>
      </c>
      <c r="O21" s="35" t="s">
        <v>71</v>
      </c>
      <c r="P21" s="40"/>
      <c r="Q21" s="40"/>
      <c r="R21" s="40"/>
    </row>
    <row r="22" spans="2:18" ht="20.100000000000001" customHeight="1" thickTop="1" thickBot="1">
      <c r="B22" s="85">
        <v>45962</v>
      </c>
      <c r="C22" s="82" t="s">
        <v>83</v>
      </c>
      <c r="D22" s="20"/>
      <c r="E22" s="20">
        <v>6000000</v>
      </c>
      <c r="F22" s="20">
        <f t="shared" si="0"/>
        <v>6030000</v>
      </c>
      <c r="H22" s="78"/>
      <c r="I22" s="79"/>
      <c r="J22" s="80"/>
      <c r="K22" s="80"/>
      <c r="L22" s="81"/>
      <c r="N22" s="35"/>
      <c r="O22" s="35"/>
      <c r="P22" s="40"/>
      <c r="Q22" s="40"/>
      <c r="R22" s="40"/>
    </row>
    <row r="23" spans="2:18" ht="20.100000000000001" customHeight="1" thickTop="1">
      <c r="B23" s="84">
        <v>45969</v>
      </c>
      <c r="C23" s="19" t="s">
        <v>37</v>
      </c>
      <c r="D23" s="20">
        <v>5500000</v>
      </c>
      <c r="E23" s="20"/>
      <c r="F23" s="20">
        <f t="shared" si="0"/>
        <v>11530000</v>
      </c>
      <c r="H23" s="8"/>
      <c r="I23" s="8"/>
      <c r="J23" s="9"/>
      <c r="K23" s="9"/>
      <c r="L23" s="9"/>
      <c r="N23" s="33" t="s">
        <v>0</v>
      </c>
      <c r="O23" s="33" t="s">
        <v>1</v>
      </c>
      <c r="P23" s="34" t="s">
        <v>4</v>
      </c>
      <c r="Q23" s="34" t="s">
        <v>5</v>
      </c>
      <c r="R23" s="34" t="s">
        <v>11</v>
      </c>
    </row>
    <row r="24" spans="2:18" ht="36.6">
      <c r="B24" s="21">
        <v>45986</v>
      </c>
      <c r="C24" s="19" t="s">
        <v>47</v>
      </c>
      <c r="D24" s="45"/>
      <c r="E24" s="45">
        <v>200000</v>
      </c>
      <c r="F24" s="20">
        <f>F23+D24-E24</f>
        <v>11330000</v>
      </c>
      <c r="H24" s="66" t="s">
        <v>55</v>
      </c>
      <c r="I24" s="66"/>
      <c r="J24" s="66"/>
      <c r="K24" s="66"/>
      <c r="L24" s="66"/>
      <c r="N24" s="28">
        <v>45726</v>
      </c>
      <c r="O24" s="31" t="s">
        <v>23</v>
      </c>
      <c r="P24" s="46">
        <v>2400000</v>
      </c>
      <c r="Q24" s="46"/>
      <c r="R24" s="46">
        <f>P24+Q24</f>
        <v>2400000</v>
      </c>
    </row>
    <row r="25" spans="2:18" ht="15.6">
      <c r="B25" s="21">
        <v>45996</v>
      </c>
      <c r="C25" s="19" t="s">
        <v>48</v>
      </c>
      <c r="D25" s="45"/>
      <c r="E25" s="45">
        <v>350000</v>
      </c>
      <c r="F25" s="20">
        <f t="shared" si="0"/>
        <v>10980000</v>
      </c>
      <c r="H25" s="65" t="s">
        <v>9</v>
      </c>
      <c r="I25" s="65"/>
      <c r="J25" s="65"/>
      <c r="K25" s="65"/>
      <c r="L25" s="65"/>
      <c r="N25" s="28">
        <v>45772</v>
      </c>
      <c r="O25" s="31" t="s">
        <v>23</v>
      </c>
      <c r="P25" s="46">
        <v>3000000</v>
      </c>
      <c r="Q25" s="46"/>
      <c r="R25" s="46">
        <f>R24+P25-Q25</f>
        <v>5400000</v>
      </c>
    </row>
    <row r="26" spans="2:18" ht="18">
      <c r="B26" s="21">
        <v>46006</v>
      </c>
      <c r="C26" s="19" t="s">
        <v>51</v>
      </c>
      <c r="D26" s="45">
        <v>4000000</v>
      </c>
      <c r="E26" s="45"/>
      <c r="F26" s="20">
        <f t="shared" si="0"/>
        <v>14980000</v>
      </c>
      <c r="H26" s="51" t="s">
        <v>8</v>
      </c>
      <c r="I26" s="51" t="s">
        <v>75</v>
      </c>
      <c r="J26" s="49"/>
      <c r="K26" s="49"/>
      <c r="L26" s="49"/>
      <c r="N26" s="28">
        <v>45830</v>
      </c>
      <c r="O26" s="31" t="s">
        <v>23</v>
      </c>
      <c r="P26" s="46">
        <v>4200000</v>
      </c>
      <c r="Q26" s="46"/>
      <c r="R26" s="46">
        <f t="shared" ref="R26:R29" si="3">R25+P26-Q26</f>
        <v>9600000</v>
      </c>
    </row>
    <row r="27" spans="2:18" ht="18">
      <c r="B27" s="78"/>
      <c r="C27" s="79"/>
      <c r="D27" s="88"/>
      <c r="E27" s="88"/>
      <c r="F27" s="80"/>
      <c r="H27" s="51"/>
      <c r="I27" s="51"/>
      <c r="J27" s="49"/>
      <c r="K27" s="49"/>
      <c r="L27" s="49"/>
      <c r="N27" s="28"/>
      <c r="O27" s="31"/>
      <c r="P27" s="46"/>
      <c r="Q27" s="46"/>
      <c r="R27" s="46"/>
    </row>
    <row r="28" spans="2:18" ht="18">
      <c r="H28" s="48" t="s">
        <v>74</v>
      </c>
      <c r="I28" s="48" t="s">
        <v>1</v>
      </c>
      <c r="J28" s="48" t="s">
        <v>4</v>
      </c>
      <c r="K28" s="48" t="s">
        <v>5</v>
      </c>
      <c r="L28" s="48" t="s">
        <v>11</v>
      </c>
      <c r="N28" s="30">
        <v>45874</v>
      </c>
      <c r="O28" s="31" t="s">
        <v>23</v>
      </c>
      <c r="P28" s="46">
        <v>3900000</v>
      </c>
      <c r="Q28" s="46"/>
      <c r="R28" s="46">
        <f>R26+P28-Q28</f>
        <v>13500000</v>
      </c>
    </row>
    <row r="29" spans="2:18" ht="36.6">
      <c r="B29" s="66" t="s">
        <v>55</v>
      </c>
      <c r="C29" s="66"/>
      <c r="D29" s="66"/>
      <c r="E29" s="66"/>
      <c r="F29" s="66"/>
      <c r="H29" s="28">
        <v>45726</v>
      </c>
      <c r="I29" s="31" t="s">
        <v>53</v>
      </c>
      <c r="J29" s="46"/>
      <c r="K29" s="46">
        <v>4000000</v>
      </c>
      <c r="L29" s="46">
        <f>SUM(-K29)</f>
        <v>-4000000</v>
      </c>
      <c r="N29" s="30">
        <v>45969</v>
      </c>
      <c r="O29" s="31" t="s">
        <v>23</v>
      </c>
      <c r="P29" s="46">
        <v>3300000</v>
      </c>
      <c r="Q29" s="46"/>
      <c r="R29" s="46">
        <f t="shared" si="3"/>
        <v>16800000</v>
      </c>
    </row>
    <row r="30" spans="2:18" ht="15.6">
      <c r="B30" s="65" t="s">
        <v>9</v>
      </c>
      <c r="C30" s="65"/>
      <c r="D30" s="65"/>
      <c r="E30" s="65"/>
      <c r="F30" s="65"/>
      <c r="H30" s="28">
        <v>45772</v>
      </c>
      <c r="I30" s="31" t="s">
        <v>26</v>
      </c>
      <c r="J30" s="46"/>
      <c r="K30" s="46">
        <v>5000000</v>
      </c>
      <c r="L30" s="46">
        <f>L29+J30-K30</f>
        <v>-9000000</v>
      </c>
      <c r="N30" s="47"/>
      <c r="O30" s="47"/>
      <c r="P30" s="46"/>
      <c r="Q30" s="46"/>
      <c r="R30" s="46">
        <f>R29+P30-Q30</f>
        <v>16800000</v>
      </c>
    </row>
    <row r="31" spans="2:18" ht="15.6">
      <c r="B31" s="52"/>
      <c r="C31" s="52"/>
      <c r="D31" s="52"/>
      <c r="E31" s="52"/>
      <c r="F31" s="52"/>
      <c r="H31" s="28"/>
      <c r="I31" s="31"/>
      <c r="J31" s="46"/>
      <c r="K31" s="46"/>
      <c r="L31" s="46"/>
      <c r="N31" s="89">
        <v>46022</v>
      </c>
      <c r="O31" s="47" t="s">
        <v>88</v>
      </c>
      <c r="P31" s="46"/>
      <c r="Q31" s="46">
        <v>16800000</v>
      </c>
      <c r="R31" s="46">
        <f>R30+P31-Q31</f>
        <v>0</v>
      </c>
    </row>
    <row r="32" spans="2:18" ht="18">
      <c r="B32" s="51" t="s">
        <v>8</v>
      </c>
      <c r="C32" s="51" t="s">
        <v>78</v>
      </c>
      <c r="D32" s="51"/>
      <c r="E32" s="51"/>
      <c r="F32" s="51"/>
      <c r="H32" s="30">
        <v>45830</v>
      </c>
      <c r="I32" s="31" t="s">
        <v>37</v>
      </c>
      <c r="J32" s="46"/>
      <c r="K32" s="46">
        <v>7000000</v>
      </c>
      <c r="L32" s="46">
        <f>L30+J32-K32</f>
        <v>-16000000</v>
      </c>
    </row>
    <row r="33" spans="2:18" ht="36.6">
      <c r="B33" s="55" t="s">
        <v>0</v>
      </c>
      <c r="C33" s="55" t="s">
        <v>1</v>
      </c>
      <c r="D33" s="55" t="s">
        <v>4</v>
      </c>
      <c r="E33" s="55" t="s">
        <v>5</v>
      </c>
      <c r="F33" s="55" t="s">
        <v>11</v>
      </c>
      <c r="H33" s="30">
        <v>45874</v>
      </c>
      <c r="I33" s="31" t="s">
        <v>40</v>
      </c>
      <c r="J33" s="46"/>
      <c r="K33" s="46">
        <v>6500000</v>
      </c>
      <c r="L33" s="46">
        <f t="shared" ref="L33:L34" si="4">L32+J33-K33</f>
        <v>-22500000</v>
      </c>
      <c r="N33" s="66" t="s">
        <v>55</v>
      </c>
      <c r="O33" s="66"/>
      <c r="P33" s="66"/>
      <c r="Q33" s="66"/>
      <c r="R33" s="66"/>
    </row>
    <row r="34" spans="2:18" ht="15.6">
      <c r="B34" s="28">
        <v>45738</v>
      </c>
      <c r="C34" s="31" t="s">
        <v>57</v>
      </c>
      <c r="D34" s="46">
        <v>150000</v>
      </c>
      <c r="E34" s="46"/>
      <c r="F34" s="46">
        <f>D34+E34</f>
        <v>150000</v>
      </c>
      <c r="H34" s="30">
        <v>45969</v>
      </c>
      <c r="I34" s="31" t="s">
        <v>37</v>
      </c>
      <c r="J34" s="46"/>
      <c r="K34" s="46">
        <v>5500000</v>
      </c>
      <c r="L34" s="46">
        <f t="shared" si="4"/>
        <v>-28000000</v>
      </c>
      <c r="N34" s="65" t="s">
        <v>9</v>
      </c>
      <c r="O34" s="65"/>
      <c r="P34" s="65"/>
      <c r="Q34" s="65"/>
      <c r="R34" s="65"/>
    </row>
    <row r="35" spans="2:18" ht="18">
      <c r="B35" s="30">
        <v>45807</v>
      </c>
      <c r="C35" s="31" t="s">
        <v>33</v>
      </c>
      <c r="D35" s="46">
        <v>100000</v>
      </c>
      <c r="E35" s="46"/>
      <c r="F35" s="46">
        <f>F34+D35-E35</f>
        <v>250000</v>
      </c>
      <c r="H35" s="89">
        <v>46022</v>
      </c>
      <c r="I35" s="47" t="s">
        <v>87</v>
      </c>
      <c r="J35" s="46">
        <v>28000000</v>
      </c>
      <c r="K35" s="46"/>
      <c r="L35" s="46">
        <f>L34+J35-K35</f>
        <v>0</v>
      </c>
      <c r="N35" s="51" t="s">
        <v>8</v>
      </c>
      <c r="O35" s="51" t="s">
        <v>72</v>
      </c>
      <c r="P35" s="50"/>
      <c r="Q35" s="50"/>
      <c r="R35" s="50"/>
    </row>
    <row r="36" spans="2:18" ht="18">
      <c r="B36" s="30">
        <v>45868</v>
      </c>
      <c r="C36" s="31" t="s">
        <v>39</v>
      </c>
      <c r="D36" s="46">
        <v>140000</v>
      </c>
      <c r="E36" s="46"/>
      <c r="F36" s="46">
        <f>F35+D36-E36</f>
        <v>390000</v>
      </c>
      <c r="N36" s="48" t="s">
        <v>0</v>
      </c>
      <c r="O36" s="48" t="s">
        <v>1</v>
      </c>
      <c r="P36" s="48" t="s">
        <v>4</v>
      </c>
      <c r="Q36" s="48" t="s">
        <v>5</v>
      </c>
      <c r="R36" s="48" t="s">
        <v>11</v>
      </c>
    </row>
    <row r="37" spans="2:18" ht="36.6">
      <c r="B37" s="30">
        <v>45986</v>
      </c>
      <c r="C37" s="31" t="s">
        <v>47</v>
      </c>
      <c r="D37" s="46">
        <v>200000</v>
      </c>
      <c r="E37" s="46"/>
      <c r="F37" s="46">
        <f t="shared" ref="F37" si="5">F36+D37-E37</f>
        <v>590000</v>
      </c>
      <c r="H37" s="66" t="s">
        <v>55</v>
      </c>
      <c r="I37" s="66"/>
      <c r="J37" s="66"/>
      <c r="K37" s="66"/>
      <c r="L37" s="66"/>
      <c r="N37" s="30">
        <v>45748</v>
      </c>
      <c r="O37" s="31" t="s">
        <v>58</v>
      </c>
      <c r="P37" s="46">
        <v>900000</v>
      </c>
      <c r="Q37" s="46"/>
      <c r="R37" s="44">
        <f>P37+Q37</f>
        <v>900000</v>
      </c>
    </row>
    <row r="38" spans="2:18" ht="15.6">
      <c r="B38" s="89">
        <v>46022</v>
      </c>
      <c r="C38" s="47" t="s">
        <v>88</v>
      </c>
      <c r="D38" s="46"/>
      <c r="E38" s="46">
        <v>590000</v>
      </c>
      <c r="F38" s="46">
        <f>F37+D38-E38</f>
        <v>0</v>
      </c>
      <c r="H38" s="65" t="s">
        <v>9</v>
      </c>
      <c r="I38" s="65"/>
      <c r="J38" s="65"/>
      <c r="K38" s="65"/>
      <c r="L38" s="65"/>
      <c r="N38" s="30">
        <v>45927</v>
      </c>
      <c r="O38" s="31" t="s">
        <v>44</v>
      </c>
      <c r="P38" s="46">
        <v>900000</v>
      </c>
      <c r="Q38" s="46"/>
      <c r="R38" s="44">
        <f>R37+P38-Q38</f>
        <v>1800000</v>
      </c>
    </row>
    <row r="39" spans="2:18" ht="18">
      <c r="H39" s="51" t="s">
        <v>8</v>
      </c>
      <c r="I39" s="51" t="s">
        <v>76</v>
      </c>
      <c r="J39" s="51"/>
      <c r="K39" s="51"/>
      <c r="L39" s="51"/>
      <c r="N39" s="90">
        <v>46022</v>
      </c>
      <c r="O39" s="39" t="s">
        <v>88</v>
      </c>
      <c r="P39" s="44"/>
      <c r="Q39" s="44">
        <v>1800000</v>
      </c>
      <c r="R39" s="44">
        <f>R38+P39-Q39</f>
        <v>0</v>
      </c>
    </row>
    <row r="40" spans="2:18" ht="36.6">
      <c r="B40" s="66" t="s">
        <v>55</v>
      </c>
      <c r="C40" s="66"/>
      <c r="D40" s="66"/>
      <c r="E40" s="66"/>
      <c r="F40" s="66"/>
      <c r="H40" s="55" t="s">
        <v>0</v>
      </c>
      <c r="I40" s="55" t="s">
        <v>1</v>
      </c>
      <c r="J40" s="55" t="s">
        <v>4</v>
      </c>
      <c r="K40" s="55" t="s">
        <v>5</v>
      </c>
      <c r="L40" s="55" t="s">
        <v>11</v>
      </c>
    </row>
    <row r="41" spans="2:18" ht="36.6">
      <c r="B41" s="65" t="s">
        <v>9</v>
      </c>
      <c r="C41" s="65"/>
      <c r="D41" s="65"/>
      <c r="E41" s="65"/>
      <c r="F41" s="65"/>
      <c r="H41" s="30">
        <v>45772</v>
      </c>
      <c r="I41" s="31" t="s">
        <v>26</v>
      </c>
      <c r="J41" s="46">
        <v>5000000</v>
      </c>
      <c r="K41" s="46"/>
      <c r="L41" s="46">
        <f>J41+K41</f>
        <v>5000000</v>
      </c>
      <c r="N41" s="66" t="s">
        <v>55</v>
      </c>
      <c r="O41" s="66"/>
      <c r="P41" s="66"/>
      <c r="Q41" s="66"/>
      <c r="R41" s="66"/>
    </row>
    <row r="42" spans="2:18" ht="18">
      <c r="B42" s="51" t="s">
        <v>8</v>
      </c>
      <c r="C42" s="51" t="s">
        <v>79</v>
      </c>
      <c r="D42" s="51"/>
      <c r="E42" s="51"/>
      <c r="F42" s="51"/>
      <c r="H42" s="30">
        <v>45795</v>
      </c>
      <c r="I42" s="31" t="s">
        <v>31</v>
      </c>
      <c r="J42" s="46"/>
      <c r="K42" s="46">
        <v>3000000</v>
      </c>
      <c r="L42" s="46">
        <f>L41+J42-K42</f>
        <v>2000000</v>
      </c>
      <c r="N42" s="65" t="s">
        <v>9</v>
      </c>
      <c r="O42" s="65"/>
      <c r="P42" s="65"/>
      <c r="Q42" s="65"/>
      <c r="R42" s="65"/>
    </row>
    <row r="43" spans="2:18" ht="18">
      <c r="B43" s="55" t="s">
        <v>0</v>
      </c>
      <c r="C43" s="55" t="s">
        <v>1</v>
      </c>
      <c r="D43" s="55" t="s">
        <v>4</v>
      </c>
      <c r="E43" s="55" t="s">
        <v>5</v>
      </c>
      <c r="F43" s="55" t="s">
        <v>11</v>
      </c>
      <c r="H43" s="28">
        <v>45874</v>
      </c>
      <c r="I43" s="31" t="s">
        <v>40</v>
      </c>
      <c r="J43" s="46">
        <v>6500000</v>
      </c>
      <c r="K43" s="46"/>
      <c r="L43" s="46">
        <f t="shared" ref="L43:L46" si="6">L42+J43-K43</f>
        <v>8500000</v>
      </c>
      <c r="N43" s="51" t="s">
        <v>8</v>
      </c>
      <c r="O43" s="51" t="s">
        <v>73</v>
      </c>
      <c r="P43" s="49"/>
      <c r="Q43" s="49"/>
      <c r="R43" s="49"/>
    </row>
    <row r="44" spans="2:18" ht="18">
      <c r="B44" s="30">
        <v>45848</v>
      </c>
      <c r="C44" s="31" t="s">
        <v>38</v>
      </c>
      <c r="D44" s="46">
        <v>1200000</v>
      </c>
      <c r="E44" s="46"/>
      <c r="F44" s="46">
        <f>D44+E44</f>
        <v>1200000</v>
      </c>
      <c r="H44" s="30">
        <v>45889</v>
      </c>
      <c r="I44" s="31" t="s">
        <v>42</v>
      </c>
      <c r="J44" s="46"/>
      <c r="K44" s="46">
        <v>2500000</v>
      </c>
      <c r="L44" s="46">
        <f t="shared" si="6"/>
        <v>6000000</v>
      </c>
      <c r="N44" s="53" t="s">
        <v>0</v>
      </c>
      <c r="O44" s="54" t="s">
        <v>1</v>
      </c>
      <c r="P44" s="55" t="s">
        <v>10</v>
      </c>
      <c r="Q44" s="55" t="s">
        <v>5</v>
      </c>
      <c r="R44" s="55" t="s">
        <v>11</v>
      </c>
    </row>
    <row r="45" spans="2:18" ht="15.6">
      <c r="B45" s="89">
        <v>46022</v>
      </c>
      <c r="C45" s="47" t="s">
        <v>88</v>
      </c>
      <c r="D45" s="46"/>
      <c r="E45" s="46">
        <v>1200000</v>
      </c>
      <c r="F45" s="46">
        <f>F44+D45-E45</f>
        <v>0</v>
      </c>
      <c r="H45" s="30">
        <v>46006</v>
      </c>
      <c r="I45" s="31" t="s">
        <v>51</v>
      </c>
      <c r="J45" s="46"/>
      <c r="K45" s="46">
        <v>4000000</v>
      </c>
      <c r="L45" s="46">
        <f t="shared" si="6"/>
        <v>2000000</v>
      </c>
      <c r="N45" s="30">
        <v>45782</v>
      </c>
      <c r="O45" s="31" t="s">
        <v>30</v>
      </c>
      <c r="P45" s="46">
        <v>80000</v>
      </c>
      <c r="Q45" s="46"/>
      <c r="R45" s="44">
        <f>P45+Q45</f>
        <v>80000</v>
      </c>
    </row>
    <row r="46" spans="2:18" ht="15.6">
      <c r="H46" s="47"/>
      <c r="I46" s="47"/>
      <c r="J46" s="46"/>
      <c r="K46" s="46"/>
      <c r="L46" s="46">
        <f t="shared" si="6"/>
        <v>2000000</v>
      </c>
      <c r="N46" s="39"/>
      <c r="O46" s="39"/>
      <c r="P46" s="44"/>
      <c r="Q46" s="44"/>
      <c r="R46" s="44">
        <f>R45+P46-Q46</f>
        <v>80000</v>
      </c>
    </row>
    <row r="47" spans="2:18" ht="36.6">
      <c r="B47" s="66" t="s">
        <v>55</v>
      </c>
      <c r="C47" s="66"/>
      <c r="D47" s="66"/>
      <c r="E47" s="66"/>
      <c r="F47" s="66"/>
    </row>
    <row r="48" spans="2:18" ht="36.6">
      <c r="B48" s="65" t="s">
        <v>9</v>
      </c>
      <c r="C48" s="65"/>
      <c r="D48" s="65"/>
      <c r="E48" s="65"/>
      <c r="F48" s="65"/>
      <c r="H48" s="66" t="s">
        <v>55</v>
      </c>
      <c r="I48" s="66"/>
      <c r="J48" s="66"/>
      <c r="K48" s="66"/>
      <c r="L48" s="66"/>
    </row>
    <row r="49" spans="2:12" ht="18">
      <c r="B49" s="51" t="s">
        <v>8</v>
      </c>
      <c r="C49" s="51" t="s">
        <v>80</v>
      </c>
      <c r="D49" s="51"/>
      <c r="E49" s="51"/>
      <c r="F49" s="51"/>
      <c r="H49" s="65" t="s">
        <v>9</v>
      </c>
      <c r="I49" s="65"/>
      <c r="J49" s="65"/>
      <c r="K49" s="65"/>
      <c r="L49" s="65"/>
    </row>
    <row r="50" spans="2:12" ht="18">
      <c r="B50" s="55" t="s">
        <v>0</v>
      </c>
      <c r="C50" s="55" t="s">
        <v>1</v>
      </c>
      <c r="D50" s="55" t="s">
        <v>4</v>
      </c>
      <c r="E50" s="55" t="s">
        <v>5</v>
      </c>
      <c r="F50" s="55" t="s">
        <v>11</v>
      </c>
      <c r="H50" s="51" t="s">
        <v>8</v>
      </c>
      <c r="I50" s="51" t="s">
        <v>77</v>
      </c>
      <c r="J50" s="51"/>
      <c r="K50" s="51"/>
      <c r="L50" s="51"/>
    </row>
    <row r="51" spans="2:12" ht="18">
      <c r="B51" s="30">
        <v>45940</v>
      </c>
      <c r="C51" s="31" t="s">
        <v>45</v>
      </c>
      <c r="D51" s="46">
        <v>200000</v>
      </c>
      <c r="E51" s="46"/>
      <c r="F51" s="46">
        <f>D51+E51</f>
        <v>200000</v>
      </c>
      <c r="H51" s="55" t="s">
        <v>0</v>
      </c>
      <c r="I51" s="55" t="s">
        <v>1</v>
      </c>
      <c r="J51" s="55" t="s">
        <v>4</v>
      </c>
      <c r="K51" s="55" t="s">
        <v>5</v>
      </c>
      <c r="L51" s="55" t="s">
        <v>11</v>
      </c>
    </row>
    <row r="52" spans="2:12" ht="18">
      <c r="B52" s="47"/>
      <c r="C52" s="47"/>
      <c r="D52" s="46"/>
      <c r="E52" s="46"/>
      <c r="F52" s="46">
        <f>F51+D52-E52</f>
        <v>200000</v>
      </c>
      <c r="H52" s="30">
        <v>45996</v>
      </c>
      <c r="I52" s="29" t="s">
        <v>48</v>
      </c>
      <c r="J52" s="44">
        <v>350000</v>
      </c>
      <c r="K52" s="44"/>
      <c r="L52" s="44">
        <f>J52+K52</f>
        <v>350000</v>
      </c>
    </row>
    <row r="53" spans="2:12">
      <c r="H53" s="90">
        <v>46022</v>
      </c>
      <c r="I53" s="39" t="s">
        <v>88</v>
      </c>
      <c r="J53" s="44"/>
      <c r="K53" s="44">
        <v>350000</v>
      </c>
      <c r="L53" s="44">
        <f>L52+J53-K53</f>
        <v>0</v>
      </c>
    </row>
  </sheetData>
  <mergeCells count="29">
    <mergeCell ref="H9:L9"/>
    <mergeCell ref="H10:L10"/>
    <mergeCell ref="T2:X2"/>
    <mergeCell ref="B2:F2"/>
    <mergeCell ref="B3:F3"/>
    <mergeCell ref="H2:L2"/>
    <mergeCell ref="H3:L3"/>
    <mergeCell ref="N2:R2"/>
    <mergeCell ref="N3:R3"/>
    <mergeCell ref="N9:R9"/>
    <mergeCell ref="N10:R10"/>
    <mergeCell ref="H24:L24"/>
    <mergeCell ref="H25:L25"/>
    <mergeCell ref="N19:R19"/>
    <mergeCell ref="N20:R20"/>
    <mergeCell ref="B29:F29"/>
    <mergeCell ref="B40:F40"/>
    <mergeCell ref="B41:F41"/>
    <mergeCell ref="B47:F47"/>
    <mergeCell ref="B30:F30"/>
    <mergeCell ref="N33:R33"/>
    <mergeCell ref="N34:R34"/>
    <mergeCell ref="H37:L37"/>
    <mergeCell ref="H38:L38"/>
    <mergeCell ref="B48:F48"/>
    <mergeCell ref="H48:L48"/>
    <mergeCell ref="H49:L49"/>
    <mergeCell ref="N41:R41"/>
    <mergeCell ref="N42:R4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3678-9C1A-4C9E-9897-49F58D49FF04}">
  <dimension ref="B2:E9"/>
  <sheetViews>
    <sheetView zoomScale="141" workbookViewId="0">
      <selection activeCell="E12" sqref="E12"/>
    </sheetView>
  </sheetViews>
  <sheetFormatPr baseColWidth="10" defaultRowHeight="14.4"/>
  <sheetData>
    <row r="2" spans="2:5" ht="18">
      <c r="B2" s="91" t="s">
        <v>86</v>
      </c>
      <c r="C2" s="92" t="s">
        <v>4</v>
      </c>
      <c r="D2" s="92" t="s">
        <v>5</v>
      </c>
      <c r="E2" t="s">
        <v>89</v>
      </c>
    </row>
    <row r="3" spans="2:5" ht="18">
      <c r="B3" s="51">
        <v>5135</v>
      </c>
      <c r="C3" s="39"/>
      <c r="D3" s="39">
        <v>590000</v>
      </c>
      <c r="E3">
        <f>C3+D3</f>
        <v>590000</v>
      </c>
    </row>
    <row r="4" spans="2:5">
      <c r="B4" s="49">
        <v>5105</v>
      </c>
      <c r="C4" s="39"/>
      <c r="D4" s="39">
        <v>1200000</v>
      </c>
      <c r="E4">
        <f>E3+C4-D4</f>
        <v>-610000</v>
      </c>
    </row>
    <row r="5" spans="2:5">
      <c r="B5" s="49">
        <v>4135</v>
      </c>
      <c r="C5" s="39">
        <v>28000000</v>
      </c>
      <c r="D5" s="39"/>
      <c r="E5">
        <f t="shared" ref="E5:E8" si="0">E4+C5-D5</f>
        <v>27390000</v>
      </c>
    </row>
    <row r="6" spans="2:5">
      <c r="B6" s="49">
        <v>5220</v>
      </c>
      <c r="C6" s="39"/>
      <c r="D6" s="39">
        <v>350000</v>
      </c>
      <c r="E6">
        <f t="shared" si="0"/>
        <v>27040000</v>
      </c>
    </row>
    <row r="7" spans="2:5">
      <c r="B7" s="49">
        <v>6135</v>
      </c>
      <c r="C7" s="39"/>
      <c r="D7" s="39">
        <v>16800000</v>
      </c>
      <c r="E7">
        <f t="shared" si="0"/>
        <v>10240000</v>
      </c>
    </row>
    <row r="8" spans="2:5">
      <c r="B8" s="49">
        <v>5220</v>
      </c>
      <c r="C8" s="39"/>
      <c r="D8" s="39">
        <v>1800000</v>
      </c>
      <c r="E8">
        <f t="shared" si="0"/>
        <v>8440000</v>
      </c>
    </row>
    <row r="9" spans="2:5">
      <c r="C9" s="39"/>
      <c r="D9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61D0-90E9-42F2-8457-F8E8A4D7D3A0}">
  <dimension ref="B2:C23"/>
  <sheetViews>
    <sheetView workbookViewId="0">
      <selection activeCell="A11" sqref="A11:XFD11"/>
    </sheetView>
  </sheetViews>
  <sheetFormatPr baseColWidth="10" defaultRowHeight="14.4"/>
  <cols>
    <col min="2" max="2" width="44.88671875" customWidth="1"/>
  </cols>
  <sheetData>
    <row r="2" spans="2:3">
      <c r="B2" s="93" t="s">
        <v>90</v>
      </c>
    </row>
    <row r="3" spans="2:3">
      <c r="B3" t="s">
        <v>91</v>
      </c>
      <c r="C3">
        <v>28000000</v>
      </c>
    </row>
    <row r="4" spans="2:3">
      <c r="B4" t="s">
        <v>92</v>
      </c>
    </row>
    <row r="5" spans="2:3">
      <c r="B5" s="93" t="s">
        <v>93</v>
      </c>
    </row>
    <row r="6" spans="2:3">
      <c r="B6" s="93" t="s">
        <v>94</v>
      </c>
      <c r="C6">
        <v>1680000</v>
      </c>
    </row>
    <row r="7" spans="2:3">
      <c r="B7" t="s">
        <v>95</v>
      </c>
    </row>
    <row r="8" spans="2:3">
      <c r="B8" t="s">
        <v>96</v>
      </c>
      <c r="C8">
        <v>3200000</v>
      </c>
    </row>
    <row r="9" spans="2:3">
      <c r="B9" t="s">
        <v>97</v>
      </c>
    </row>
    <row r="10" spans="2:3">
      <c r="B10" s="93" t="s">
        <v>98</v>
      </c>
    </row>
    <row r="11" spans="2:3">
      <c r="B11" s="93"/>
    </row>
    <row r="12" spans="2:3">
      <c r="B12" t="s">
        <v>99</v>
      </c>
      <c r="C12">
        <v>8000000</v>
      </c>
    </row>
    <row r="13" spans="2:3">
      <c r="B13" s="93" t="s">
        <v>100</v>
      </c>
      <c r="C13">
        <v>4020000</v>
      </c>
    </row>
    <row r="14" spans="2:3">
      <c r="B14" t="s">
        <v>101</v>
      </c>
    </row>
    <row r="15" spans="2:3">
      <c r="B15" t="s">
        <v>102</v>
      </c>
    </row>
    <row r="16" spans="2:3">
      <c r="B16" t="s">
        <v>103</v>
      </c>
    </row>
    <row r="17" spans="2:2">
      <c r="B17" t="s">
        <v>104</v>
      </c>
    </row>
    <row r="18" spans="2:2">
      <c r="B18" s="93" t="s">
        <v>105</v>
      </c>
    </row>
    <row r="19" spans="2:2">
      <c r="B19" t="s">
        <v>106</v>
      </c>
    </row>
    <row r="20" spans="2:2">
      <c r="B20" t="s">
        <v>107</v>
      </c>
    </row>
    <row r="21" spans="2:2">
      <c r="B21" s="93" t="s">
        <v>108</v>
      </c>
    </row>
    <row r="22" spans="2:2">
      <c r="B22" s="93" t="s">
        <v>109</v>
      </c>
    </row>
    <row r="23" spans="2:2">
      <c r="B23" s="93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D6BE-A3C0-47F2-AED5-06C587E33713}">
  <dimension ref="A2:D25"/>
  <sheetViews>
    <sheetView workbookViewId="0">
      <selection activeCell="A2" sqref="A2:D25"/>
    </sheetView>
  </sheetViews>
  <sheetFormatPr baseColWidth="10" defaultRowHeight="14.4"/>
  <cols>
    <col min="2" max="2" width="45.33203125" customWidth="1"/>
  </cols>
  <sheetData>
    <row r="2" spans="1:4" ht="18">
      <c r="A2" s="86" t="s">
        <v>86</v>
      </c>
      <c r="B2" s="86" t="s">
        <v>3</v>
      </c>
      <c r="C2" s="86" t="s">
        <v>85</v>
      </c>
      <c r="D2" s="86" t="s">
        <v>5</v>
      </c>
    </row>
    <row r="3" spans="1:4">
      <c r="A3" s="87"/>
      <c r="B3" s="87"/>
      <c r="C3" s="87"/>
      <c r="D3" s="87"/>
    </row>
    <row r="4" spans="1:4">
      <c r="A4" s="87"/>
      <c r="B4" s="87"/>
      <c r="C4" s="87"/>
      <c r="D4" s="87"/>
    </row>
    <row r="5" spans="1:4">
      <c r="A5" s="87"/>
      <c r="B5" s="87"/>
      <c r="C5" s="87"/>
      <c r="D5" s="87"/>
    </row>
    <row r="6" spans="1:4">
      <c r="A6" s="87"/>
      <c r="B6" s="87"/>
      <c r="C6" s="87"/>
      <c r="D6" s="87"/>
    </row>
    <row r="7" spans="1:4">
      <c r="A7" s="87"/>
      <c r="B7" s="87"/>
      <c r="C7" s="87"/>
      <c r="D7" s="87"/>
    </row>
    <row r="8" spans="1:4">
      <c r="A8" s="87"/>
      <c r="B8" s="87"/>
      <c r="C8" s="87"/>
      <c r="D8" s="87"/>
    </row>
    <row r="9" spans="1:4">
      <c r="A9" s="87"/>
      <c r="B9" s="87"/>
      <c r="C9" s="87"/>
      <c r="D9" s="87"/>
    </row>
    <row r="10" spans="1:4">
      <c r="A10" s="87"/>
      <c r="B10" s="87"/>
      <c r="C10" s="87"/>
      <c r="D10" s="87"/>
    </row>
    <row r="11" spans="1:4">
      <c r="A11" s="87"/>
      <c r="B11" s="87"/>
      <c r="C11" s="87"/>
      <c r="D11" s="87"/>
    </row>
    <row r="12" spans="1:4">
      <c r="A12" s="87"/>
      <c r="B12" s="87"/>
      <c r="C12" s="87"/>
      <c r="D12" s="87"/>
    </row>
    <row r="13" spans="1:4">
      <c r="A13" s="87"/>
      <c r="B13" s="87"/>
      <c r="C13" s="87"/>
      <c r="D13" s="87"/>
    </row>
    <row r="14" spans="1:4">
      <c r="A14" s="87"/>
      <c r="B14" s="87"/>
      <c r="C14" s="87"/>
      <c r="D14" s="87"/>
    </row>
    <row r="15" spans="1:4">
      <c r="A15" s="87"/>
      <c r="B15" s="87"/>
      <c r="C15" s="87"/>
      <c r="D15" s="87"/>
    </row>
    <row r="16" spans="1:4">
      <c r="A16" s="87"/>
      <c r="B16" s="87"/>
      <c r="C16" s="87"/>
      <c r="D16" s="87"/>
    </row>
    <row r="17" spans="1:4">
      <c r="A17" s="87"/>
      <c r="B17" s="87"/>
      <c r="C17" s="87"/>
      <c r="D17" s="87"/>
    </row>
    <row r="18" spans="1:4">
      <c r="A18" s="87"/>
      <c r="B18" s="87"/>
      <c r="C18" s="87"/>
      <c r="D18" s="87"/>
    </row>
    <row r="19" spans="1:4">
      <c r="A19" s="87"/>
      <c r="B19" s="87"/>
      <c r="C19" s="87"/>
      <c r="D19" s="87"/>
    </row>
    <row r="20" spans="1:4">
      <c r="A20" s="87"/>
      <c r="B20" s="87"/>
      <c r="C20" s="87"/>
      <c r="D20" s="87"/>
    </row>
    <row r="21" spans="1:4">
      <c r="A21" s="87"/>
      <c r="B21" s="87"/>
      <c r="C21" s="87"/>
      <c r="D21" s="87"/>
    </row>
    <row r="22" spans="1:4">
      <c r="A22" s="87"/>
      <c r="B22" s="87"/>
      <c r="C22" s="87"/>
      <c r="D22" s="87"/>
    </row>
    <row r="23" spans="1:4">
      <c r="A23" s="87"/>
      <c r="B23" s="87"/>
      <c r="C23" s="87"/>
      <c r="D23" s="87"/>
    </row>
    <row r="24" spans="1:4">
      <c r="A24" s="87"/>
      <c r="B24" s="87"/>
      <c r="C24" s="87"/>
      <c r="D24" s="87"/>
    </row>
    <row r="25" spans="1:4">
      <c r="A25" s="87"/>
      <c r="B25" s="87"/>
      <c r="C25" s="87"/>
      <c r="D25" s="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LIBRO DIARIO</vt:lpstr>
      <vt:lpstr>LIBRO MAYOR</vt:lpstr>
      <vt:lpstr>Hoja2</vt:lpstr>
      <vt:lpstr>ESTADO DE RESULTADOS</vt:lpstr>
      <vt:lpstr>BALANCE DE COMPROBACION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</dc:creator>
  <cp:lastModifiedBy>sara torres manrique</cp:lastModifiedBy>
  <dcterms:created xsi:type="dcterms:W3CDTF">2025-11-11T04:04:22Z</dcterms:created>
  <dcterms:modified xsi:type="dcterms:W3CDTF">2025-11-18T15:56:03Z</dcterms:modified>
</cp:coreProperties>
</file>