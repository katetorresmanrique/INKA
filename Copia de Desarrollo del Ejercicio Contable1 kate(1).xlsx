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RA TORRES\Documents\"/>
    </mc:Choice>
  </mc:AlternateContent>
  <xr:revisionPtr revIDLastSave="0" documentId="8_{1C0AC7FE-4667-4F15-9BAC-29ECBD99A5DB}" xr6:coauthVersionLast="47" xr6:coauthVersionMax="47" xr10:uidLastSave="{00000000-0000-0000-0000-000000000000}"/>
  <bookViews>
    <workbookView xWindow="-108" yWindow="-108" windowWidth="23256" windowHeight="12456" xr2:uid="{09774EFB-D392-428C-8BC3-786CFDD7F7F2}"/>
  </bookViews>
  <sheets>
    <sheet name="Libro Diario" sheetId="1" r:id="rId1"/>
    <sheet name="22 03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R7" i="2" s="1"/>
  <c r="L6" i="2"/>
  <c r="L7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</calcChain>
</file>

<file path=xl/sharedStrings.xml><?xml version="1.0" encoding="utf-8"?>
<sst xmlns="http://schemas.openxmlformats.org/spreadsheetml/2006/main" count="189" uniqueCount="73">
  <si>
    <t>Fecha</t>
  </si>
  <si>
    <t>Concepto</t>
  </si>
  <si>
    <t>Código</t>
  </si>
  <si>
    <t>Cuenta</t>
  </si>
  <si>
    <t>Debe</t>
  </si>
  <si>
    <t>Haber</t>
  </si>
  <si>
    <t>Comercial los Llanos S.A.S.</t>
  </si>
  <si>
    <t>LIBRO DIARIO</t>
  </si>
  <si>
    <t>Cuenta:</t>
  </si>
  <si>
    <t>LIBRO MAYOR</t>
  </si>
  <si>
    <t xml:space="preserve">Debe </t>
  </si>
  <si>
    <t>Saldo</t>
  </si>
  <si>
    <t>BANCOS</t>
  </si>
  <si>
    <t>1105 CAJA</t>
  </si>
  <si>
    <t>3110 CAPITAL SOCIAL</t>
  </si>
  <si>
    <t xml:space="preserve"> </t>
  </si>
  <si>
    <t>Aportes de socios en efectivo .</t>
  </si>
  <si>
    <t>Caja</t>
  </si>
  <si>
    <t>Aportes de socios en efectivo.</t>
  </si>
  <si>
    <t>Consignacion en cuanta bancaria</t>
  </si>
  <si>
    <t xml:space="preserve">Banco </t>
  </si>
  <si>
    <t xml:space="preserve">Compra de mercancia al credico </t>
  </si>
  <si>
    <t xml:space="preserve">Capital social </t>
  </si>
  <si>
    <t>Inventarios</t>
  </si>
  <si>
    <t>Ventas</t>
  </si>
  <si>
    <t>Costo de ventas</t>
  </si>
  <si>
    <t>Servicios publicos</t>
  </si>
  <si>
    <t>Pago de servicos de energia</t>
  </si>
  <si>
    <t>Costo de ventas(60%)</t>
  </si>
  <si>
    <t>proveeedores</t>
  </si>
  <si>
    <t>Pago de arriendo del local</t>
  </si>
  <si>
    <t>Arriendo</t>
  </si>
  <si>
    <t>Proveedores</t>
  </si>
  <si>
    <t>Abono al proveedor</t>
  </si>
  <si>
    <t>Venta a credito</t>
  </si>
  <si>
    <t xml:space="preserve">Clientes </t>
  </si>
  <si>
    <t>Costos de ventas</t>
  </si>
  <si>
    <t xml:space="preserve">Costo de ventas </t>
  </si>
  <si>
    <t>Inventas</t>
  </si>
  <si>
    <t>Compra de insumos y papeleria en efectivo</t>
  </si>
  <si>
    <t>Cobro a cliente por venta de abril</t>
  </si>
  <si>
    <t xml:space="preserve">Caja </t>
  </si>
  <si>
    <t xml:space="preserve">Pago de servicio de internet </t>
  </si>
  <si>
    <t>Compra de mercancia (50%efectivo,50%credito)</t>
  </si>
  <si>
    <t>Pago en efectivo por mercancia</t>
  </si>
  <si>
    <t>Compra a credito</t>
  </si>
  <si>
    <t xml:space="preserve">Venta de mercancia en efectivo </t>
  </si>
  <si>
    <t>4.200.00</t>
  </si>
  <si>
    <t>Pago de salario al empleado</t>
  </si>
  <si>
    <t>Salarios</t>
  </si>
  <si>
    <t>Pago de servicios publicos</t>
  </si>
  <si>
    <t>Venta de mercancia a credito</t>
  </si>
  <si>
    <t xml:space="preserve">Costos de ventas </t>
  </si>
  <si>
    <t xml:space="preserve">Pago parcial de cliente </t>
  </si>
  <si>
    <t>Pago al proveedor</t>
  </si>
  <si>
    <t>Pago de ariendo del local</t>
  </si>
  <si>
    <t>comercio al por mayoy y al por menor</t>
  </si>
  <si>
    <t>Resgidtro de merma  o perdida de inventario</t>
  </si>
  <si>
    <t>Deterioro de inventarios</t>
  </si>
  <si>
    <t>Pago de servicios de nergia y agua</t>
  </si>
  <si>
    <t xml:space="preserve">Pago de prima de servicos al empleado </t>
  </si>
  <si>
    <t xml:space="preserve">Servicios </t>
  </si>
  <si>
    <t>Prima de servicios</t>
  </si>
  <si>
    <t>Cobro de saldo pendiente de agosto</t>
  </si>
  <si>
    <t>fecha</t>
  </si>
  <si>
    <t>Venta en efectivo</t>
  </si>
  <si>
    <t>v</t>
  </si>
  <si>
    <t>comercial los llanos S.A.S</t>
  </si>
  <si>
    <t>inventarios</t>
  </si>
  <si>
    <t>concepto</t>
  </si>
  <si>
    <t>debe</t>
  </si>
  <si>
    <t>haber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</si>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</sst>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1"/>
      <name val="Aptos Narrow"/>
      <family val="2"/>
      <scheme val="minor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name val="Arial Narrow"/>
      <family val="2"/>
    </font>
    <font>
      <sz val="16"/>
      <name val="Arial Narrow"/>
      <family val="2"/>
    </font>
    <font>
      <b/>
      <sz val="14"/>
      <name val="Arial Narrow"/>
      <family val="2"/>
    </font>
    <font>
      <b/>
      <sz val="26"/>
      <color theme="0"/>
      <name val="Arial Narrow"/>
      <family val="2"/>
    </font>
    <font>
      <b/>
      <sz val="28"/>
      <color theme="0"/>
      <name val="Arial Narrow"/>
      <family val="2"/>
    </font>
    <font>
      <b/>
      <sz val="36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color theme="1"/>
      <name val="Aptos Narrow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28"/>
      <color theme="0"/>
      <name val="Arial Narrow}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1793B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1793B"/>
      </left>
      <right style="thin">
        <color rgb="FF11793B"/>
      </right>
      <top style="thin">
        <color rgb="FF11793B"/>
      </top>
      <bottom style="thin">
        <color rgb="FF11793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11793B"/>
      </left>
      <right style="thick">
        <color rgb="FF11793B"/>
      </right>
      <top style="thick">
        <color rgb="FF11793B"/>
      </top>
      <bottom style="thick">
        <color rgb="FF11793B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0" fontId="12" fillId="0" borderId="11" xfId="0" applyFont="1" applyBorder="1"/>
    <xf numFmtId="14" fontId="10" fillId="0" borderId="0" xfId="0" applyNumberFormat="1" applyFont="1" applyAlignment="1">
      <alignment vertical="center"/>
    </xf>
    <xf numFmtId="14" fontId="9" fillId="0" borderId="11" xfId="0" applyNumberFormat="1" applyFont="1" applyBorder="1" applyAlignment="1">
      <alignment vertical="center"/>
    </xf>
    <xf numFmtId="14" fontId="9" fillId="0" borderId="11" xfId="0" applyNumberFormat="1" applyFont="1" applyBorder="1"/>
    <xf numFmtId="43" fontId="12" fillId="0" borderId="11" xfId="1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3" fontId="12" fillId="0" borderId="1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12" fillId="0" borderId="11" xfId="1" applyFont="1" applyBorder="1" applyAlignment="1"/>
    <xf numFmtId="14" fontId="13" fillId="2" borderId="11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/>
    </xf>
    <xf numFmtId="43" fontId="12" fillId="0" borderId="11" xfId="1" applyFont="1" applyFill="1" applyBorder="1" applyAlignment="1">
      <alignment horizontal="right"/>
    </xf>
    <xf numFmtId="0" fontId="0" fillId="0" borderId="7" xfId="0" applyBorder="1"/>
    <xf numFmtId="14" fontId="9" fillId="0" borderId="7" xfId="0" applyNumberFormat="1" applyFont="1" applyBorder="1" applyAlignment="1">
      <alignment vertical="center"/>
    </xf>
    <xf numFmtId="0" fontId="12" fillId="0" borderId="7" xfId="0" applyFont="1" applyBorder="1"/>
    <xf numFmtId="43" fontId="2" fillId="0" borderId="7" xfId="1" applyFont="1" applyFill="1" applyBorder="1" applyAlignment="1">
      <alignment vertical="center"/>
    </xf>
    <xf numFmtId="14" fontId="9" fillId="0" borderId="7" xfId="0" applyNumberFormat="1" applyFont="1" applyBorder="1"/>
    <xf numFmtId="0" fontId="2" fillId="0" borderId="7" xfId="0" applyFont="1" applyBorder="1" applyAlignment="1">
      <alignment vertical="center"/>
    </xf>
    <xf numFmtId="0" fontId="5" fillId="4" borderId="7" xfId="0" applyFont="1" applyFill="1" applyBorder="1"/>
    <xf numFmtId="0" fontId="0" fillId="4" borderId="7" xfId="0" applyFill="1" applyBorder="1"/>
    <xf numFmtId="0" fontId="19" fillId="4" borderId="7" xfId="0" applyFont="1" applyFill="1" applyBorder="1" applyAlignment="1">
      <alignment vertical="center"/>
    </xf>
    <xf numFmtId="164" fontId="2" fillId="0" borderId="7" xfId="1" applyNumberFormat="1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43" fontId="2" fillId="0" borderId="7" xfId="1" applyFont="1" applyBorder="1" applyAlignment="1">
      <alignment vertical="center"/>
    </xf>
    <xf numFmtId="15" fontId="2" fillId="0" borderId="7" xfId="0" applyNumberFormat="1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5" fillId="5" borderId="7" xfId="0" applyFont="1" applyFill="1" applyBorder="1"/>
    <xf numFmtId="0" fontId="0" fillId="5" borderId="7" xfId="0" applyFill="1" applyBorder="1"/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5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0" fontId="12" fillId="6" borderId="11" xfId="0" applyFont="1" applyFill="1" applyBorder="1"/>
    <xf numFmtId="15" fontId="22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2" fillId="7" borderId="1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1179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D88E-EFCB-4863-B0CB-E16713EF37BB}">
  <dimension ref="B2:N67"/>
  <sheetViews>
    <sheetView tabSelected="1" zoomScale="63" zoomScaleNormal="136" workbookViewId="0">
      <selection activeCell="C14" sqref="C14"/>
    </sheetView>
  </sheetViews>
  <sheetFormatPr baseColWidth="10" defaultRowHeight="15.6"/>
  <cols>
    <col min="1" max="1" width="9.109375" customWidth="1"/>
    <col min="2" max="2" width="14.88671875" style="5" bestFit="1" customWidth="1"/>
    <col min="3" max="3" width="45.88671875" customWidth="1"/>
    <col min="4" max="4" width="8.21875" customWidth="1"/>
    <col min="5" max="5" width="41.109375" customWidth="1"/>
    <col min="6" max="6" width="20.88671875" style="12" customWidth="1"/>
    <col min="7" max="7" width="17.21875" customWidth="1"/>
  </cols>
  <sheetData>
    <row r="2" spans="2:14" ht="44.4">
      <c r="B2" s="37" t="s">
        <v>6</v>
      </c>
      <c r="C2" s="38"/>
      <c r="D2" s="38"/>
      <c r="E2" s="38"/>
      <c r="F2" s="38"/>
      <c r="G2" s="39"/>
    </row>
    <row r="3" spans="2:14" ht="18.600000000000001" thickBot="1">
      <c r="B3" s="40" t="s">
        <v>7</v>
      </c>
      <c r="C3" s="41"/>
      <c r="D3" s="41"/>
      <c r="E3" s="41"/>
      <c r="F3" s="41"/>
      <c r="G3" s="42"/>
    </row>
    <row r="4" spans="2:14" ht="21.6" thickTop="1" thickBot="1">
      <c r="B4" s="14" t="s">
        <v>64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"/>
      <c r="I4" s="1"/>
    </row>
    <row r="5" spans="2:14" ht="19.2" thickTop="1" thickBot="1">
      <c r="B5" s="6">
        <v>45717</v>
      </c>
      <c r="C5" s="4" t="s">
        <v>16</v>
      </c>
      <c r="D5" s="4">
        <v>1105</v>
      </c>
      <c r="E5" s="58" t="s">
        <v>17</v>
      </c>
      <c r="F5" s="16">
        <v>20000000</v>
      </c>
      <c r="G5" s="8"/>
      <c r="H5" s="1"/>
      <c r="I5" s="1"/>
    </row>
    <row r="6" spans="2:14" ht="19.2" thickTop="1" thickBot="1">
      <c r="B6" s="6">
        <v>45717</v>
      </c>
      <c r="C6" s="4" t="s">
        <v>18</v>
      </c>
      <c r="D6" s="4">
        <v>3105</v>
      </c>
      <c r="E6" s="58" t="s">
        <v>22</v>
      </c>
      <c r="F6" s="8"/>
      <c r="G6" s="8">
        <v>20000000</v>
      </c>
      <c r="H6" s="1"/>
      <c r="I6" s="1"/>
    </row>
    <row r="7" spans="2:14" ht="19.2" thickTop="1" thickBot="1">
      <c r="B7" s="6">
        <v>45719</v>
      </c>
      <c r="C7" s="4" t="s">
        <v>19</v>
      </c>
      <c r="D7" s="4">
        <v>1110</v>
      </c>
      <c r="E7" s="58" t="s">
        <v>20</v>
      </c>
      <c r="F7" s="13">
        <v>12000000</v>
      </c>
      <c r="G7" s="8"/>
      <c r="H7" s="1"/>
      <c r="I7" s="1"/>
    </row>
    <row r="8" spans="2:14" ht="19.2" thickTop="1" thickBot="1">
      <c r="B8" s="6">
        <v>45719</v>
      </c>
      <c r="C8" s="4" t="s">
        <v>19</v>
      </c>
      <c r="D8" s="4">
        <v>1105</v>
      </c>
      <c r="E8" s="58" t="s">
        <v>17</v>
      </c>
      <c r="F8" s="8"/>
      <c r="G8" s="16">
        <v>12000000</v>
      </c>
      <c r="H8" s="1"/>
      <c r="I8" s="1"/>
    </row>
    <row r="9" spans="2:14" ht="19.2" thickTop="1" thickBot="1">
      <c r="B9" s="6">
        <v>45721</v>
      </c>
      <c r="C9" s="4" t="s">
        <v>21</v>
      </c>
      <c r="D9" s="4">
        <v>1435</v>
      </c>
      <c r="E9" s="61" t="s">
        <v>23</v>
      </c>
      <c r="F9" s="8">
        <v>6000000</v>
      </c>
      <c r="G9" s="8"/>
      <c r="H9" s="1"/>
      <c r="I9" s="1"/>
    </row>
    <row r="10" spans="2:14" ht="19.2" thickTop="1" thickBot="1">
      <c r="B10" s="6">
        <v>45721</v>
      </c>
      <c r="C10" s="4" t="s">
        <v>21</v>
      </c>
      <c r="D10" s="4">
        <v>2205</v>
      </c>
      <c r="E10" s="4" t="s">
        <v>29</v>
      </c>
      <c r="F10" s="8"/>
      <c r="G10" s="8">
        <v>6000000</v>
      </c>
      <c r="H10" s="1"/>
      <c r="I10" s="1"/>
    </row>
    <row r="11" spans="2:14" s="3" customFormat="1" ht="19.2" thickTop="1" thickBot="1">
      <c r="B11" s="6">
        <v>45726</v>
      </c>
      <c r="C11" s="4" t="s">
        <v>65</v>
      </c>
      <c r="D11" s="4">
        <v>1105</v>
      </c>
      <c r="E11" s="58" t="s">
        <v>17</v>
      </c>
      <c r="F11" s="16">
        <v>4000000</v>
      </c>
      <c r="G11" s="8"/>
      <c r="H11" s="2"/>
      <c r="I11" s="2"/>
    </row>
    <row r="12" spans="2:14" s="3" customFormat="1" ht="19.2" thickTop="1" thickBot="1">
      <c r="B12" s="6">
        <v>45726</v>
      </c>
      <c r="C12" s="4" t="s">
        <v>65</v>
      </c>
      <c r="D12" s="4">
        <v>4135</v>
      </c>
      <c r="E12" s="4" t="s">
        <v>56</v>
      </c>
      <c r="F12" s="8"/>
      <c r="G12" s="8">
        <v>4000000</v>
      </c>
      <c r="H12" s="2"/>
      <c r="I12" s="2"/>
    </row>
    <row r="13" spans="2:14" ht="19.2" thickTop="1" thickBot="1">
      <c r="B13" s="6">
        <v>45726</v>
      </c>
      <c r="C13" s="4" t="s">
        <v>28</v>
      </c>
      <c r="D13" s="4">
        <v>6135</v>
      </c>
      <c r="E13" s="4" t="s">
        <v>25</v>
      </c>
      <c r="F13" s="8">
        <v>2400000</v>
      </c>
      <c r="G13" s="8"/>
      <c r="H13" s="1"/>
      <c r="I13" s="1"/>
    </row>
    <row r="14" spans="2:14" ht="19.2" thickTop="1" thickBot="1">
      <c r="B14" s="6">
        <v>45726</v>
      </c>
      <c r="C14" s="4" t="s">
        <v>25</v>
      </c>
      <c r="D14" s="4">
        <v>1435</v>
      </c>
      <c r="E14" s="61" t="s">
        <v>23</v>
      </c>
      <c r="F14" s="8"/>
      <c r="G14" s="8">
        <v>2400000</v>
      </c>
      <c r="H14" s="1"/>
      <c r="I14" s="1"/>
    </row>
    <row r="15" spans="2:14" ht="19.2" thickTop="1" thickBot="1">
      <c r="B15" s="6">
        <v>45738</v>
      </c>
      <c r="C15" s="4" t="s">
        <v>27</v>
      </c>
      <c r="D15" s="4">
        <v>5135</v>
      </c>
      <c r="E15" s="4" t="s">
        <v>26</v>
      </c>
      <c r="F15" s="8">
        <v>150000</v>
      </c>
      <c r="G15" s="8"/>
      <c r="H15" s="1"/>
      <c r="I15" s="1"/>
    </row>
    <row r="16" spans="2:14" ht="19.2" thickTop="1" thickBot="1">
      <c r="B16" s="7">
        <v>45738</v>
      </c>
      <c r="C16" s="4" t="s">
        <v>27</v>
      </c>
      <c r="D16" s="4">
        <v>1105</v>
      </c>
      <c r="E16" s="58" t="s">
        <v>17</v>
      </c>
      <c r="F16" s="8"/>
      <c r="G16" s="16">
        <v>150000</v>
      </c>
      <c r="H16" s="1"/>
      <c r="I16" s="1"/>
      <c r="N16" t="s">
        <v>15</v>
      </c>
    </row>
    <row r="17" spans="2:9" ht="19.2" thickTop="1" thickBot="1">
      <c r="B17" s="7">
        <v>45748</v>
      </c>
      <c r="C17" s="4" t="s">
        <v>30</v>
      </c>
      <c r="D17" s="4">
        <v>5135</v>
      </c>
      <c r="E17" s="4" t="s">
        <v>31</v>
      </c>
      <c r="F17" s="8">
        <v>900000</v>
      </c>
      <c r="G17" s="8"/>
      <c r="H17" s="1"/>
      <c r="I17" s="1"/>
    </row>
    <row r="18" spans="2:9" ht="19.2" thickTop="1" thickBot="1">
      <c r="B18" s="7">
        <v>45748</v>
      </c>
      <c r="C18" s="4" t="s">
        <v>30</v>
      </c>
      <c r="D18" s="4">
        <v>1105</v>
      </c>
      <c r="E18" s="58" t="s">
        <v>17</v>
      </c>
      <c r="F18" s="8"/>
      <c r="G18" s="16">
        <v>900000</v>
      </c>
      <c r="H18" s="1"/>
      <c r="I18" s="1"/>
    </row>
    <row r="19" spans="2:9" ht="19.2" thickTop="1" thickBot="1">
      <c r="B19" s="6">
        <v>45761</v>
      </c>
      <c r="C19" s="4" t="s">
        <v>33</v>
      </c>
      <c r="D19" s="4">
        <v>2205</v>
      </c>
      <c r="E19" s="4" t="s">
        <v>32</v>
      </c>
      <c r="F19" s="8">
        <v>3000000</v>
      </c>
      <c r="G19" s="8"/>
      <c r="H19" s="1"/>
      <c r="I19" s="1"/>
    </row>
    <row r="20" spans="2:9" ht="19.2" thickTop="1" thickBot="1">
      <c r="B20" s="7">
        <v>45761</v>
      </c>
      <c r="C20" s="4" t="s">
        <v>33</v>
      </c>
      <c r="D20" s="4">
        <v>1105</v>
      </c>
      <c r="E20" s="58" t="s">
        <v>17</v>
      </c>
      <c r="F20" s="8"/>
      <c r="G20" s="16">
        <v>3000000</v>
      </c>
      <c r="H20" s="1"/>
      <c r="I20" s="1"/>
    </row>
    <row r="21" spans="2:9" ht="19.2" thickTop="1" thickBot="1">
      <c r="B21" s="7">
        <v>45772</v>
      </c>
      <c r="C21" s="4" t="s">
        <v>34</v>
      </c>
      <c r="D21" s="4">
        <v>1305</v>
      </c>
      <c r="E21" s="4" t="s">
        <v>35</v>
      </c>
      <c r="F21" s="8">
        <v>5000000</v>
      </c>
      <c r="G21" s="8"/>
      <c r="H21" s="1"/>
      <c r="I21" s="1"/>
    </row>
    <row r="22" spans="2:9" ht="19.2" thickTop="1" thickBot="1">
      <c r="B22" s="6">
        <v>45772</v>
      </c>
      <c r="C22" s="4" t="s">
        <v>34</v>
      </c>
      <c r="D22" s="4">
        <v>4135</v>
      </c>
      <c r="E22" s="4" t="s">
        <v>24</v>
      </c>
      <c r="F22" s="8"/>
      <c r="G22" s="8">
        <v>5000000</v>
      </c>
      <c r="H22" s="1"/>
      <c r="I22" s="1"/>
    </row>
    <row r="23" spans="2:9" ht="19.2" thickTop="1" thickBot="1">
      <c r="B23" s="6">
        <v>45772</v>
      </c>
      <c r="C23" s="4" t="s">
        <v>28</v>
      </c>
      <c r="D23" s="4">
        <v>6135</v>
      </c>
      <c r="E23" s="4" t="s">
        <v>37</v>
      </c>
      <c r="F23" s="8">
        <v>3000000</v>
      </c>
      <c r="G23" s="8"/>
      <c r="H23" s="1"/>
      <c r="I23" s="1"/>
    </row>
    <row r="24" spans="2:9" ht="19.2" thickTop="1" thickBot="1">
      <c r="B24" s="6">
        <v>45772</v>
      </c>
      <c r="C24" s="4" t="s">
        <v>36</v>
      </c>
      <c r="D24" s="4">
        <v>1435</v>
      </c>
      <c r="E24" s="4" t="s">
        <v>38</v>
      </c>
      <c r="F24" s="9"/>
      <c r="G24" s="10">
        <v>3000000</v>
      </c>
      <c r="H24" s="1"/>
      <c r="I24" s="1"/>
    </row>
    <row r="25" spans="2:9" ht="19.2" thickTop="1" thickBot="1">
      <c r="B25" s="7">
        <v>45782</v>
      </c>
      <c r="C25" s="4" t="s">
        <v>39</v>
      </c>
      <c r="D25" s="4">
        <v>5135</v>
      </c>
      <c r="E25" s="4" t="s">
        <v>61</v>
      </c>
      <c r="F25" s="10">
        <v>80000</v>
      </c>
      <c r="G25" s="9"/>
      <c r="H25" s="1"/>
      <c r="I25" s="1"/>
    </row>
    <row r="26" spans="2:9" ht="19.2" thickTop="1" thickBot="1">
      <c r="B26" s="7">
        <v>45782</v>
      </c>
      <c r="C26" s="4" t="s">
        <v>39</v>
      </c>
      <c r="D26" s="4">
        <v>1105</v>
      </c>
      <c r="E26" s="58" t="s">
        <v>17</v>
      </c>
      <c r="F26" s="9"/>
      <c r="G26" s="10">
        <v>800000</v>
      </c>
      <c r="H26" s="1"/>
      <c r="I26" s="1"/>
    </row>
    <row r="27" spans="2:9" ht="19.2" thickTop="1" thickBot="1">
      <c r="B27" s="7">
        <v>45795</v>
      </c>
      <c r="C27" s="4" t="s">
        <v>40</v>
      </c>
      <c r="D27" s="4">
        <v>1105</v>
      </c>
      <c r="E27" s="58" t="s">
        <v>41</v>
      </c>
      <c r="F27" s="10">
        <v>3000000</v>
      </c>
      <c r="G27" s="9"/>
      <c r="H27" s="1"/>
      <c r="I27" s="1"/>
    </row>
    <row r="28" spans="2:9" ht="19.2" thickTop="1" thickBot="1">
      <c r="B28" s="7">
        <v>45795</v>
      </c>
      <c r="C28" s="4" t="s">
        <v>40</v>
      </c>
      <c r="D28" s="4">
        <v>1305</v>
      </c>
      <c r="E28" s="4" t="s">
        <v>35</v>
      </c>
      <c r="F28" s="9"/>
      <c r="G28" s="10">
        <v>3000000</v>
      </c>
      <c r="H28" s="1"/>
      <c r="I28" s="1"/>
    </row>
    <row r="29" spans="2:9" ht="19.2" thickTop="1" thickBot="1">
      <c r="B29" s="7">
        <v>45807</v>
      </c>
      <c r="C29" s="4" t="s">
        <v>42</v>
      </c>
      <c r="D29" s="4">
        <v>5135</v>
      </c>
      <c r="E29" s="4" t="s">
        <v>26</v>
      </c>
      <c r="F29" s="10">
        <v>100000</v>
      </c>
      <c r="G29" s="9"/>
      <c r="H29" s="1"/>
      <c r="I29" s="1"/>
    </row>
    <row r="30" spans="2:9" ht="19.2" thickTop="1" thickBot="1">
      <c r="B30" s="6">
        <v>45807</v>
      </c>
      <c r="C30" s="4" t="s">
        <v>42</v>
      </c>
      <c r="D30" s="4">
        <v>1105</v>
      </c>
      <c r="E30" s="58" t="s">
        <v>17</v>
      </c>
      <c r="F30" s="9"/>
      <c r="G30" s="10">
        <v>100000</v>
      </c>
      <c r="H30" s="1"/>
      <c r="I30" s="1"/>
    </row>
    <row r="31" spans="2:9" ht="19.2" thickTop="1" thickBot="1">
      <c r="B31" s="7">
        <v>45812</v>
      </c>
      <c r="C31" s="4" t="s">
        <v>43</v>
      </c>
      <c r="D31" s="4">
        <v>1435</v>
      </c>
      <c r="E31" s="4" t="s">
        <v>23</v>
      </c>
      <c r="F31" s="10">
        <v>8000000</v>
      </c>
      <c r="G31" s="9"/>
      <c r="H31" s="1"/>
      <c r="I31" s="1"/>
    </row>
    <row r="32" spans="2:9" ht="19.2" thickTop="1" thickBot="1">
      <c r="B32" s="6">
        <v>45812</v>
      </c>
      <c r="C32" s="4" t="s">
        <v>44</v>
      </c>
      <c r="D32" s="4">
        <v>1105</v>
      </c>
      <c r="E32" s="58" t="s">
        <v>41</v>
      </c>
      <c r="F32" s="9"/>
      <c r="G32" s="10">
        <v>4000000</v>
      </c>
      <c r="H32" s="1"/>
      <c r="I32" s="1"/>
    </row>
    <row r="33" spans="2:9" ht="19.2" thickTop="1" thickBot="1">
      <c r="B33" s="7">
        <v>45812</v>
      </c>
      <c r="C33" s="4" t="s">
        <v>45</v>
      </c>
      <c r="D33" s="4">
        <v>2205</v>
      </c>
      <c r="E33" s="4" t="s">
        <v>32</v>
      </c>
      <c r="F33" s="9"/>
      <c r="G33" s="10">
        <v>4000000</v>
      </c>
      <c r="H33" s="1"/>
      <c r="I33" s="1"/>
    </row>
    <row r="34" spans="2:9" ht="19.2" thickTop="1" thickBot="1">
      <c r="B34" s="7">
        <v>45830</v>
      </c>
      <c r="C34" s="4" t="s">
        <v>46</v>
      </c>
      <c r="D34" s="4">
        <v>1105</v>
      </c>
      <c r="E34" s="58" t="s">
        <v>17</v>
      </c>
      <c r="F34" s="10">
        <v>7000000</v>
      </c>
      <c r="G34" s="9"/>
      <c r="H34" s="1"/>
      <c r="I34" s="1"/>
    </row>
    <row r="35" spans="2:9" ht="19.2" thickTop="1" thickBot="1">
      <c r="B35" s="7">
        <v>45830</v>
      </c>
      <c r="C35" s="4" t="s">
        <v>46</v>
      </c>
      <c r="D35" s="4">
        <v>4135</v>
      </c>
      <c r="E35" s="4" t="s">
        <v>24</v>
      </c>
      <c r="F35" s="9"/>
      <c r="G35" s="10">
        <v>7000000</v>
      </c>
      <c r="H35" s="1"/>
      <c r="I35" s="1"/>
    </row>
    <row r="36" spans="2:9" ht="19.2" thickTop="1" thickBot="1">
      <c r="B36" s="6">
        <v>45830</v>
      </c>
      <c r="C36" s="4" t="s">
        <v>28</v>
      </c>
      <c r="D36" s="4">
        <v>6135</v>
      </c>
      <c r="E36" s="4" t="s">
        <v>36</v>
      </c>
      <c r="F36" s="9" t="s">
        <v>47</v>
      </c>
      <c r="G36" s="9"/>
      <c r="H36" s="1"/>
      <c r="I36" s="1"/>
    </row>
    <row r="37" spans="2:9" ht="19.2" thickTop="1" thickBot="1">
      <c r="B37" s="7">
        <v>45830</v>
      </c>
      <c r="C37" s="4" t="s">
        <v>25</v>
      </c>
      <c r="D37" s="4">
        <v>1435</v>
      </c>
      <c r="E37" s="4" t="s">
        <v>23</v>
      </c>
      <c r="F37" s="9"/>
      <c r="G37" s="10">
        <v>4200000</v>
      </c>
      <c r="H37" s="1"/>
      <c r="I37" s="1"/>
    </row>
    <row r="38" spans="2:9" ht="19.2" thickTop="1" thickBot="1">
      <c r="B38" s="7">
        <v>45848</v>
      </c>
      <c r="C38" s="4" t="s">
        <v>48</v>
      </c>
      <c r="D38" s="4">
        <v>5105</v>
      </c>
      <c r="E38" s="4" t="s">
        <v>49</v>
      </c>
      <c r="F38" s="10">
        <v>1200000</v>
      </c>
      <c r="G38" s="9"/>
      <c r="H38" s="1"/>
      <c r="I38" s="1"/>
    </row>
    <row r="39" spans="2:9" ht="19.2" thickTop="1" thickBot="1">
      <c r="B39" s="7">
        <v>45848</v>
      </c>
      <c r="C39" s="4" t="s">
        <v>48</v>
      </c>
      <c r="D39" s="4">
        <v>1105</v>
      </c>
      <c r="E39" s="58" t="s">
        <v>17</v>
      </c>
      <c r="F39" s="9"/>
      <c r="G39" s="10">
        <v>1200000</v>
      </c>
      <c r="H39" s="1"/>
      <c r="I39" s="1"/>
    </row>
    <row r="40" spans="2:9" ht="19.2" thickTop="1" thickBot="1">
      <c r="B40" s="7">
        <v>45868</v>
      </c>
      <c r="C40" s="4" t="s">
        <v>50</v>
      </c>
      <c r="D40" s="4">
        <v>5135</v>
      </c>
      <c r="E40" s="4" t="s">
        <v>26</v>
      </c>
      <c r="F40" s="10">
        <v>140000</v>
      </c>
      <c r="G40" s="9"/>
      <c r="H40" s="1"/>
      <c r="I40" s="1"/>
    </row>
    <row r="41" spans="2:9" ht="19.2" thickTop="1" thickBot="1">
      <c r="B41" s="7">
        <v>45868</v>
      </c>
      <c r="C41" s="4" t="s">
        <v>50</v>
      </c>
      <c r="D41" s="4">
        <v>1105</v>
      </c>
      <c r="E41" s="58" t="s">
        <v>17</v>
      </c>
      <c r="F41" s="9"/>
      <c r="G41" s="10">
        <v>140000</v>
      </c>
      <c r="H41" s="1"/>
      <c r="I41" s="1"/>
    </row>
    <row r="42" spans="2:9" ht="19.2" thickTop="1" thickBot="1">
      <c r="B42" s="6">
        <v>45874</v>
      </c>
      <c r="C42" s="4" t="s">
        <v>51</v>
      </c>
      <c r="D42" s="4">
        <v>1305</v>
      </c>
      <c r="E42" s="4" t="s">
        <v>35</v>
      </c>
      <c r="F42" s="10">
        <v>6500000</v>
      </c>
      <c r="G42" s="9"/>
      <c r="H42" s="1"/>
      <c r="I42" s="1"/>
    </row>
    <row r="43" spans="2:9" ht="19.2" thickTop="1" thickBot="1">
      <c r="B43" s="7">
        <v>45874</v>
      </c>
      <c r="C43" s="4" t="s">
        <v>51</v>
      </c>
      <c r="D43" s="4">
        <v>4135</v>
      </c>
      <c r="E43" s="4" t="s">
        <v>24</v>
      </c>
      <c r="F43" s="9"/>
      <c r="G43" s="10">
        <v>6500000</v>
      </c>
      <c r="H43" s="1"/>
      <c r="I43" s="1"/>
    </row>
    <row r="44" spans="2:9" ht="19.2" thickTop="1" thickBot="1">
      <c r="B44" s="7">
        <v>45874</v>
      </c>
      <c r="C44" s="4" t="s">
        <v>28</v>
      </c>
      <c r="D44" s="4">
        <v>6135</v>
      </c>
      <c r="E44" s="4" t="s">
        <v>52</v>
      </c>
      <c r="F44" s="10">
        <v>3900000</v>
      </c>
      <c r="G44" s="9"/>
      <c r="H44" s="1"/>
      <c r="I44" s="1"/>
    </row>
    <row r="45" spans="2:9" ht="19.2" thickTop="1" thickBot="1">
      <c r="B45" s="7">
        <v>45874</v>
      </c>
      <c r="C45" s="4" t="s">
        <v>36</v>
      </c>
      <c r="D45" s="4">
        <v>1435</v>
      </c>
      <c r="E45" s="4" t="s">
        <v>23</v>
      </c>
      <c r="F45" s="9"/>
      <c r="G45" s="10">
        <v>3900000</v>
      </c>
      <c r="H45" s="1"/>
      <c r="I45" s="1"/>
    </row>
    <row r="46" spans="2:9" ht="19.2" thickTop="1" thickBot="1">
      <c r="B46" s="7">
        <v>45889</v>
      </c>
      <c r="C46" s="4" t="s">
        <v>53</v>
      </c>
      <c r="D46" s="4">
        <v>1105</v>
      </c>
      <c r="E46" s="58" t="s">
        <v>17</v>
      </c>
      <c r="F46" s="10">
        <v>2500000</v>
      </c>
      <c r="G46" s="9"/>
      <c r="H46" s="1"/>
      <c r="I46" s="1"/>
    </row>
    <row r="47" spans="2:9" ht="19.2" thickTop="1" thickBot="1">
      <c r="B47" s="7">
        <v>45889</v>
      </c>
      <c r="C47" s="4" t="s">
        <v>53</v>
      </c>
      <c r="D47" s="4">
        <v>1305</v>
      </c>
      <c r="E47" s="4" t="s">
        <v>35</v>
      </c>
      <c r="F47" s="9"/>
      <c r="G47" s="10">
        <v>2500000</v>
      </c>
      <c r="H47" s="1"/>
      <c r="I47" s="1"/>
    </row>
    <row r="48" spans="2:9" ht="19.2" thickTop="1" thickBot="1">
      <c r="B48" s="7">
        <v>45903</v>
      </c>
      <c r="C48" s="4" t="s">
        <v>54</v>
      </c>
      <c r="D48" s="4">
        <v>2205</v>
      </c>
      <c r="E48" s="4" t="s">
        <v>32</v>
      </c>
      <c r="F48" s="10">
        <v>2000000</v>
      </c>
      <c r="G48" s="9"/>
      <c r="H48" s="1"/>
      <c r="I48" s="1"/>
    </row>
    <row r="49" spans="2:9" ht="19.2" thickTop="1" thickBot="1">
      <c r="B49" s="7">
        <v>45903</v>
      </c>
      <c r="C49" s="4" t="s">
        <v>54</v>
      </c>
      <c r="D49" s="4">
        <v>1105</v>
      </c>
      <c r="E49" s="58" t="s">
        <v>17</v>
      </c>
      <c r="F49" s="9"/>
      <c r="G49" s="10">
        <v>2000000</v>
      </c>
      <c r="H49" s="1"/>
      <c r="I49" s="1"/>
    </row>
    <row r="50" spans="2:9" ht="19.2" thickTop="1" thickBot="1">
      <c r="B50" s="7">
        <v>45927</v>
      </c>
      <c r="C50" s="4" t="s">
        <v>55</v>
      </c>
      <c r="D50" s="4">
        <v>5135</v>
      </c>
      <c r="E50" s="4" t="s">
        <v>31</v>
      </c>
      <c r="F50" s="10">
        <v>900000</v>
      </c>
      <c r="G50" s="9"/>
      <c r="H50" s="1"/>
      <c r="I50" s="1"/>
    </row>
    <row r="51" spans="2:9" ht="19.2" thickTop="1" thickBot="1">
      <c r="B51" s="7">
        <v>45927</v>
      </c>
      <c r="C51" s="4" t="s">
        <v>55</v>
      </c>
      <c r="D51" s="4">
        <v>1105</v>
      </c>
      <c r="E51" s="58" t="s">
        <v>17</v>
      </c>
      <c r="F51" s="9"/>
      <c r="G51" s="10">
        <v>900000</v>
      </c>
      <c r="H51" s="1"/>
      <c r="I51" s="1"/>
    </row>
    <row r="52" spans="2:9" ht="19.2" thickTop="1" thickBot="1">
      <c r="B52" s="7">
        <v>45940</v>
      </c>
      <c r="C52" s="4" t="s">
        <v>57</v>
      </c>
      <c r="D52" s="4">
        <v>5195</v>
      </c>
      <c r="E52" s="4" t="s">
        <v>58</v>
      </c>
      <c r="F52" s="10">
        <v>200000</v>
      </c>
      <c r="G52" s="9"/>
      <c r="H52" s="1"/>
      <c r="I52" s="1"/>
    </row>
    <row r="53" spans="2:9" ht="19.2" thickTop="1" thickBot="1">
      <c r="B53" s="7">
        <v>45940</v>
      </c>
      <c r="C53" s="4" t="s">
        <v>57</v>
      </c>
      <c r="D53" s="4">
        <v>1435</v>
      </c>
      <c r="E53" s="4" t="s">
        <v>23</v>
      </c>
      <c r="F53" s="9"/>
      <c r="G53" s="10">
        <v>200000</v>
      </c>
      <c r="H53" s="1"/>
      <c r="I53" s="1"/>
    </row>
    <row r="54" spans="2:9" ht="19.2" thickTop="1" thickBot="1">
      <c r="B54" s="7">
        <v>45969</v>
      </c>
      <c r="C54" s="4" t="s">
        <v>46</v>
      </c>
      <c r="D54" s="4">
        <v>1105</v>
      </c>
      <c r="E54" s="58" t="s">
        <v>17</v>
      </c>
      <c r="F54" s="10">
        <v>5500000</v>
      </c>
      <c r="G54" s="9"/>
      <c r="H54" s="1"/>
      <c r="I54" s="1"/>
    </row>
    <row r="55" spans="2:9" ht="19.2" thickTop="1" thickBot="1">
      <c r="B55" s="7">
        <v>45969</v>
      </c>
      <c r="C55" s="4" t="s">
        <v>46</v>
      </c>
      <c r="D55" s="4">
        <v>4135</v>
      </c>
      <c r="E55" s="4" t="s">
        <v>24</v>
      </c>
      <c r="F55" s="9"/>
      <c r="G55" s="10">
        <v>5500000</v>
      </c>
      <c r="H55" s="1"/>
      <c r="I55" s="1"/>
    </row>
    <row r="56" spans="2:9" ht="19.2" thickTop="1" thickBot="1">
      <c r="B56" s="7">
        <v>45969</v>
      </c>
      <c r="C56" s="4" t="s">
        <v>28</v>
      </c>
      <c r="D56" s="4">
        <v>6135</v>
      </c>
      <c r="E56" s="4" t="s">
        <v>25</v>
      </c>
      <c r="F56" s="10">
        <v>3300000</v>
      </c>
      <c r="G56" s="9"/>
      <c r="H56" s="1"/>
      <c r="I56" s="1"/>
    </row>
    <row r="57" spans="2:9" ht="19.2" thickTop="1" thickBot="1">
      <c r="B57" s="7">
        <v>45969</v>
      </c>
      <c r="C57" s="4" t="s">
        <v>25</v>
      </c>
      <c r="D57" s="4">
        <v>1435</v>
      </c>
      <c r="E57" s="4" t="s">
        <v>23</v>
      </c>
      <c r="F57" s="9"/>
      <c r="G57" s="10">
        <v>3300000</v>
      </c>
      <c r="H57" s="1"/>
      <c r="I57" s="1"/>
    </row>
    <row r="58" spans="2:9" ht="19.2" thickTop="1" thickBot="1">
      <c r="B58" s="7">
        <v>45986</v>
      </c>
      <c r="C58" s="4" t="s">
        <v>59</v>
      </c>
      <c r="D58" s="4">
        <v>5135</v>
      </c>
      <c r="E58" s="4" t="s">
        <v>26</v>
      </c>
      <c r="F58" s="10">
        <v>200000</v>
      </c>
      <c r="G58" s="9"/>
      <c r="H58" s="1"/>
      <c r="I58" s="1"/>
    </row>
    <row r="59" spans="2:9" ht="19.2" thickTop="1" thickBot="1">
      <c r="B59" s="7">
        <v>45986</v>
      </c>
      <c r="C59" s="4" t="s">
        <v>59</v>
      </c>
      <c r="D59" s="4">
        <v>1105</v>
      </c>
      <c r="E59" s="58" t="s">
        <v>17</v>
      </c>
      <c r="F59" s="9"/>
      <c r="G59" s="10">
        <v>200000</v>
      </c>
      <c r="H59" s="1"/>
      <c r="I59" s="1"/>
    </row>
    <row r="60" spans="2:9" ht="19.2" thickTop="1" thickBot="1">
      <c r="B60" s="7">
        <v>45996</v>
      </c>
      <c r="C60" s="4" t="s">
        <v>60</v>
      </c>
      <c r="D60" s="4">
        <v>5105</v>
      </c>
      <c r="E60" s="4" t="s">
        <v>62</v>
      </c>
      <c r="F60" s="10">
        <v>350000</v>
      </c>
      <c r="G60" s="9"/>
      <c r="H60" s="1"/>
      <c r="I60" s="1"/>
    </row>
    <row r="61" spans="2:9" ht="19.2" thickTop="1" thickBot="1">
      <c r="B61" s="7">
        <v>45996</v>
      </c>
      <c r="C61" s="4" t="s">
        <v>60</v>
      </c>
      <c r="D61" s="4">
        <v>1105</v>
      </c>
      <c r="E61" s="58" t="s">
        <v>17</v>
      </c>
      <c r="F61" s="9"/>
      <c r="G61" s="10">
        <v>350000</v>
      </c>
      <c r="H61" s="1"/>
      <c r="I61" s="1"/>
    </row>
    <row r="62" spans="2:9" ht="19.2" thickTop="1" thickBot="1">
      <c r="B62" s="7">
        <v>46006</v>
      </c>
      <c r="C62" s="4" t="s">
        <v>63</v>
      </c>
      <c r="D62" s="4">
        <v>1105</v>
      </c>
      <c r="E62" s="58" t="s">
        <v>17</v>
      </c>
      <c r="F62" s="10">
        <v>4000000</v>
      </c>
      <c r="G62" s="9"/>
      <c r="H62" s="1"/>
      <c r="I62" s="1"/>
    </row>
    <row r="63" spans="2:9" ht="19.2" thickTop="1" thickBot="1">
      <c r="B63" s="7">
        <v>46006</v>
      </c>
      <c r="C63" s="4" t="s">
        <v>63</v>
      </c>
      <c r="D63" s="4">
        <v>1305</v>
      </c>
      <c r="E63" s="4" t="s">
        <v>35</v>
      </c>
      <c r="F63" s="9"/>
      <c r="G63" s="10">
        <v>4000000</v>
      </c>
      <c r="H63" s="1"/>
      <c r="I63" s="1"/>
    </row>
    <row r="64" spans="2:9" ht="16.2" thickTop="1">
      <c r="C64" s="1"/>
      <c r="D64" s="1"/>
      <c r="E64" s="1"/>
      <c r="F64" s="11"/>
      <c r="G64" s="1"/>
      <c r="H64" s="1"/>
      <c r="I64" s="1"/>
    </row>
    <row r="65" spans="3:9">
      <c r="C65" s="1"/>
      <c r="D65" s="1"/>
      <c r="E65" s="1"/>
      <c r="F65" s="11"/>
      <c r="G65" s="1"/>
      <c r="H65" s="1"/>
      <c r="I65" s="1"/>
    </row>
    <row r="66" spans="3:9">
      <c r="C66" s="1"/>
      <c r="D66" s="1"/>
      <c r="E66" s="1"/>
      <c r="F66" s="11"/>
      <c r="G66" s="1"/>
      <c r="H66" s="1"/>
      <c r="I66" s="1"/>
    </row>
    <row r="67" spans="3:9">
      <c r="C67" s="1"/>
      <c r="D67" s="1"/>
      <c r="E67" s="1"/>
      <c r="F67" s="11"/>
      <c r="G67" s="1"/>
      <c r="H67" s="1"/>
      <c r="I67" s="1"/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8C1-8DD7-41E6-8268-22EBD8B0B548}">
  <dimension ref="B2:X25"/>
  <sheetViews>
    <sheetView zoomScale="89" zoomScaleNormal="89" workbookViewId="0">
      <selection activeCell="K16" sqref="K16"/>
    </sheetView>
  </sheetViews>
  <sheetFormatPr baseColWidth="10" defaultRowHeight="14.4"/>
  <cols>
    <col min="3" max="3" width="40.77734375" customWidth="1"/>
    <col min="4" max="5" width="13.33203125" bestFit="1" customWidth="1"/>
    <col min="6" max="6" width="13.33203125" customWidth="1"/>
    <col min="7" max="7" width="6.33203125" customWidth="1"/>
    <col min="9" max="9" width="40.77734375" customWidth="1"/>
    <col min="10" max="11" width="13.33203125" bestFit="1" customWidth="1"/>
    <col min="12" max="12" width="15.33203125" customWidth="1"/>
    <col min="15" max="15" width="40.77734375" customWidth="1"/>
    <col min="16" max="16" width="13.33203125" bestFit="1" customWidth="1"/>
    <col min="18" max="18" width="13.33203125" bestFit="1" customWidth="1"/>
  </cols>
  <sheetData>
    <row r="2" spans="2:24" ht="34.799999999999997">
      <c r="B2" s="52" t="s">
        <v>6</v>
      </c>
      <c r="C2" s="53"/>
      <c r="D2" s="53"/>
      <c r="E2" s="53"/>
      <c r="F2" s="54"/>
      <c r="H2" s="52" t="s">
        <v>6</v>
      </c>
      <c r="I2" s="53"/>
      <c r="J2" s="53"/>
      <c r="K2" s="53"/>
      <c r="L2" s="54"/>
      <c r="N2" s="46" t="s">
        <v>6</v>
      </c>
      <c r="O2" s="47"/>
      <c r="P2" s="47"/>
      <c r="Q2" s="47"/>
      <c r="R2" s="48"/>
      <c r="T2" s="43" t="s">
        <v>66</v>
      </c>
      <c r="U2" s="44"/>
      <c r="V2" s="44"/>
      <c r="W2" s="44"/>
      <c r="X2" s="45"/>
    </row>
    <row r="3" spans="2:24">
      <c r="B3" s="49" t="s">
        <v>9</v>
      </c>
      <c r="C3" s="50"/>
      <c r="D3" s="50"/>
      <c r="E3" s="50"/>
      <c r="F3" s="51"/>
      <c r="H3" s="49" t="s">
        <v>9</v>
      </c>
      <c r="I3" s="50"/>
      <c r="J3" s="50"/>
      <c r="K3" s="50"/>
      <c r="L3" s="51"/>
      <c r="N3" s="49" t="s">
        <v>9</v>
      </c>
      <c r="O3" s="50"/>
      <c r="P3" s="50"/>
      <c r="Q3" s="50"/>
      <c r="R3" s="51"/>
    </row>
    <row r="4" spans="2:24" ht="18">
      <c r="B4" s="25" t="s">
        <v>8</v>
      </c>
      <c r="C4" s="25" t="s">
        <v>13</v>
      </c>
      <c r="D4" s="23"/>
      <c r="E4" s="24"/>
      <c r="F4" s="24"/>
      <c r="H4" s="34" t="s">
        <v>8</v>
      </c>
      <c r="I4" s="34" t="s">
        <v>14</v>
      </c>
      <c r="J4" s="35"/>
      <c r="K4" s="36"/>
      <c r="L4" s="36"/>
      <c r="N4" s="34" t="s">
        <v>8</v>
      </c>
      <c r="O4" s="34" t="s">
        <v>12</v>
      </c>
      <c r="P4" s="35"/>
      <c r="Q4" s="36"/>
      <c r="R4" s="36"/>
    </row>
    <row r="5" spans="2:24" ht="20.100000000000001" customHeight="1">
      <c r="B5" s="32" t="s">
        <v>0</v>
      </c>
      <c r="C5" s="31" t="s">
        <v>1</v>
      </c>
      <c r="D5" s="31" t="s">
        <v>10</v>
      </c>
      <c r="E5" s="31" t="s">
        <v>5</v>
      </c>
      <c r="F5" s="31" t="s">
        <v>11</v>
      </c>
      <c r="H5" s="30" t="s">
        <v>0</v>
      </c>
      <c r="I5" s="27" t="s">
        <v>1</v>
      </c>
      <c r="J5" s="27" t="s">
        <v>10</v>
      </c>
      <c r="K5" s="27" t="s">
        <v>5</v>
      </c>
      <c r="L5" s="27" t="s">
        <v>11</v>
      </c>
      <c r="N5" s="31" t="s">
        <v>0</v>
      </c>
      <c r="O5" s="31" t="s">
        <v>1</v>
      </c>
      <c r="P5" s="33" t="s">
        <v>10</v>
      </c>
      <c r="Q5" s="31" t="s">
        <v>5</v>
      </c>
      <c r="R5" s="31" t="s">
        <v>11</v>
      </c>
    </row>
    <row r="6" spans="2:24" ht="20.100000000000001" customHeight="1">
      <c r="B6" s="18">
        <v>45717</v>
      </c>
      <c r="C6" s="19" t="s">
        <v>16</v>
      </c>
      <c r="D6" s="20">
        <v>20000000</v>
      </c>
      <c r="E6" s="20"/>
      <c r="F6" s="26">
        <f>D6-E6</f>
        <v>20000000</v>
      </c>
      <c r="H6" s="18">
        <v>45717</v>
      </c>
      <c r="I6" s="19" t="s">
        <v>18</v>
      </c>
      <c r="J6" s="28"/>
      <c r="K6" s="28">
        <v>20000000</v>
      </c>
      <c r="L6" s="28">
        <f>J6-K6</f>
        <v>-20000000</v>
      </c>
      <c r="N6" s="18">
        <v>45719</v>
      </c>
      <c r="O6" s="19" t="s">
        <v>19</v>
      </c>
      <c r="P6" s="28">
        <v>12000000</v>
      </c>
      <c r="Q6" s="28"/>
      <c r="R6" s="28">
        <f>P6</f>
        <v>12000000</v>
      </c>
    </row>
    <row r="7" spans="2:24" ht="20.100000000000001" customHeight="1">
      <c r="B7" s="18">
        <v>45719</v>
      </c>
      <c r="C7" s="19" t="s">
        <v>19</v>
      </c>
      <c r="D7" s="20"/>
      <c r="E7" s="20">
        <v>12000000</v>
      </c>
      <c r="F7" s="26">
        <f>F6+D7-E7</f>
        <v>8000000</v>
      </c>
      <c r="H7" s="29"/>
      <c r="I7" s="22"/>
      <c r="J7" s="28"/>
      <c r="K7" s="28"/>
      <c r="L7" s="28">
        <f>L6+J7-K7</f>
        <v>-20000000</v>
      </c>
      <c r="N7" s="29"/>
      <c r="O7" s="22"/>
      <c r="P7" s="28"/>
      <c r="Q7" s="28"/>
      <c r="R7" s="28">
        <f>R6+P7-Q7</f>
        <v>12000000</v>
      </c>
    </row>
    <row r="8" spans="2:24" ht="20.100000000000001" customHeight="1">
      <c r="B8" s="18">
        <v>45726</v>
      </c>
      <c r="C8" s="19" t="s">
        <v>65</v>
      </c>
      <c r="D8" s="20">
        <v>4000000</v>
      </c>
      <c r="E8" s="20"/>
      <c r="F8" s="26">
        <f t="shared" ref="F8:F25" si="0">F7+D8-E8</f>
        <v>12000000</v>
      </c>
      <c r="H8" s="55"/>
      <c r="I8" s="56"/>
      <c r="J8" s="57"/>
      <c r="K8" s="57"/>
      <c r="L8" s="57"/>
      <c r="N8" s="55"/>
      <c r="O8" s="56"/>
      <c r="P8" s="57"/>
      <c r="Q8" s="57"/>
      <c r="R8" s="57"/>
    </row>
    <row r="9" spans="2:24" ht="34.799999999999997" customHeight="1">
      <c r="B9" s="21">
        <v>45738</v>
      </c>
      <c r="C9" s="19" t="s">
        <v>27</v>
      </c>
      <c r="D9" s="20"/>
      <c r="E9" s="20">
        <v>150</v>
      </c>
      <c r="F9" s="26">
        <f t="shared" si="0"/>
        <v>11999850</v>
      </c>
      <c r="H9" s="59" t="s">
        <v>67</v>
      </c>
      <c r="I9" s="59"/>
      <c r="J9" s="59"/>
      <c r="K9" s="59"/>
      <c r="L9" s="59"/>
      <c r="N9" s="55"/>
      <c r="O9" s="56"/>
      <c r="P9" s="57"/>
      <c r="Q9" s="57"/>
      <c r="R9" s="57"/>
    </row>
    <row r="10" spans="2:24" ht="20.100000000000001" customHeight="1">
      <c r="B10" s="21">
        <v>45748</v>
      </c>
      <c r="C10" s="22" t="s">
        <v>30</v>
      </c>
      <c r="D10" s="20"/>
      <c r="E10" s="20">
        <v>900</v>
      </c>
      <c r="F10" s="26">
        <f t="shared" si="0"/>
        <v>11998950</v>
      </c>
      <c r="H10" s="60" t="s">
        <v>9</v>
      </c>
      <c r="I10" s="60"/>
      <c r="J10" s="60"/>
      <c r="K10" s="60"/>
      <c r="L10" s="60"/>
      <c r="N10" s="56"/>
      <c r="O10" s="56"/>
      <c r="P10" s="57"/>
      <c r="Q10" s="57"/>
      <c r="R10" s="57"/>
    </row>
    <row r="11" spans="2:24" ht="20.100000000000001" customHeight="1">
      <c r="B11" s="21">
        <v>45761</v>
      </c>
      <c r="C11" s="19" t="s">
        <v>33</v>
      </c>
      <c r="D11" s="20"/>
      <c r="E11" s="20">
        <v>3000000</v>
      </c>
      <c r="F11" s="26">
        <f t="shared" si="0"/>
        <v>8998950</v>
      </c>
      <c r="H11" s="56" t="s">
        <v>8</v>
      </c>
      <c r="I11" s="56" t="s">
        <v>68</v>
      </c>
      <c r="J11" s="57"/>
      <c r="K11" s="57"/>
      <c r="L11" s="57"/>
      <c r="N11" s="56"/>
      <c r="O11" s="56"/>
      <c r="P11" s="57"/>
      <c r="Q11" s="57"/>
      <c r="R11" s="57"/>
    </row>
    <row r="12" spans="2:24" ht="20.100000000000001" customHeight="1" thickBot="1">
      <c r="B12" s="21">
        <v>45782</v>
      </c>
      <c r="C12" s="19" t="s">
        <v>39</v>
      </c>
      <c r="D12" s="20"/>
      <c r="E12" s="20">
        <v>800</v>
      </c>
      <c r="F12" s="26">
        <f t="shared" si="0"/>
        <v>8998150</v>
      </c>
      <c r="H12" s="56" t="s">
        <v>64</v>
      </c>
      <c r="I12" s="56" t="s">
        <v>69</v>
      </c>
      <c r="J12" s="57" t="s">
        <v>70</v>
      </c>
      <c r="K12" s="57" t="s">
        <v>71</v>
      </c>
      <c r="L12" s="57" t="s">
        <v>72</v>
      </c>
      <c r="N12" s="56"/>
      <c r="O12" s="56"/>
      <c r="P12" s="57"/>
      <c r="Q12" s="57"/>
      <c r="R12" s="57"/>
    </row>
    <row r="13" spans="2:24" ht="20.100000000000001" customHeight="1" thickTop="1" thickBot="1">
      <c r="B13" s="21">
        <v>45795</v>
      </c>
      <c r="C13" s="19" t="s">
        <v>40</v>
      </c>
      <c r="D13" s="20">
        <v>3000000</v>
      </c>
      <c r="E13" s="20"/>
      <c r="F13" s="26">
        <f t="shared" si="0"/>
        <v>11998150</v>
      </c>
      <c r="H13" s="6">
        <v>45721</v>
      </c>
      <c r="I13" s="4" t="s">
        <v>21</v>
      </c>
      <c r="J13" s="57">
        <v>6000000</v>
      </c>
      <c r="K13" s="57"/>
      <c r="L13" s="57"/>
      <c r="N13" s="56"/>
      <c r="O13" s="56"/>
      <c r="P13" s="57"/>
      <c r="Q13" s="57"/>
      <c r="R13" s="57"/>
    </row>
    <row r="14" spans="2:24" ht="20.100000000000001" customHeight="1" thickTop="1" thickBot="1">
      <c r="B14" s="18">
        <v>45807</v>
      </c>
      <c r="C14" s="19" t="s">
        <v>42</v>
      </c>
      <c r="D14" s="20"/>
      <c r="E14" s="20">
        <v>100</v>
      </c>
      <c r="F14" s="26">
        <f t="shared" si="0"/>
        <v>11998050</v>
      </c>
      <c r="H14" s="6">
        <v>45726</v>
      </c>
      <c r="I14" s="4" t="s">
        <v>25</v>
      </c>
      <c r="J14" s="57"/>
      <c r="K14" s="57">
        <v>2400000</v>
      </c>
      <c r="L14" s="57"/>
      <c r="N14" s="56"/>
      <c r="O14" s="56"/>
      <c r="P14" s="57"/>
      <c r="Q14" s="57"/>
      <c r="R14" s="57"/>
    </row>
    <row r="15" spans="2:24" ht="20.100000000000001" customHeight="1" thickTop="1">
      <c r="B15" s="18">
        <v>45812</v>
      </c>
      <c r="C15" s="19" t="s">
        <v>44</v>
      </c>
      <c r="D15" s="20"/>
      <c r="E15" s="20">
        <v>4000000</v>
      </c>
      <c r="F15" s="26">
        <f t="shared" si="0"/>
        <v>7998050</v>
      </c>
      <c r="H15" s="56"/>
      <c r="I15" s="56"/>
      <c r="J15" s="57"/>
      <c r="K15" s="57"/>
      <c r="L15" s="57"/>
      <c r="N15" s="56"/>
      <c r="O15" s="56"/>
      <c r="P15" s="57"/>
      <c r="Q15" s="57"/>
      <c r="R15" s="57"/>
    </row>
    <row r="16" spans="2:24" ht="20.100000000000001" customHeight="1">
      <c r="B16" s="21">
        <v>45830</v>
      </c>
      <c r="C16" s="19" t="s">
        <v>46</v>
      </c>
      <c r="D16" s="20">
        <v>7000000</v>
      </c>
      <c r="E16" s="20"/>
      <c r="F16" s="26">
        <f t="shared" si="0"/>
        <v>14998050</v>
      </c>
      <c r="H16" s="56"/>
      <c r="I16" s="56"/>
      <c r="J16" s="57"/>
      <c r="K16" s="57"/>
      <c r="L16" s="57"/>
      <c r="N16" s="56"/>
      <c r="O16" s="56"/>
      <c r="P16" s="57"/>
      <c r="Q16" s="57"/>
      <c r="R16" s="57"/>
    </row>
    <row r="17" spans="2:18" ht="20.100000000000001" customHeight="1">
      <c r="B17" s="21">
        <v>45848</v>
      </c>
      <c r="C17" s="19" t="s">
        <v>48</v>
      </c>
      <c r="D17" s="20"/>
      <c r="E17" s="20">
        <v>1200000</v>
      </c>
      <c r="F17" s="26">
        <f t="shared" si="0"/>
        <v>13798050</v>
      </c>
      <c r="H17" s="56"/>
      <c r="I17" s="56"/>
      <c r="J17" s="57"/>
      <c r="K17" s="57"/>
      <c r="L17" s="57"/>
      <c r="N17" s="56"/>
      <c r="O17" s="56"/>
      <c r="P17" s="57"/>
      <c r="Q17" s="57"/>
      <c r="R17" s="57"/>
    </row>
    <row r="18" spans="2:18" ht="20.100000000000001" customHeight="1">
      <c r="B18" s="21">
        <v>45868</v>
      </c>
      <c r="C18" s="19" t="s">
        <v>50</v>
      </c>
      <c r="D18" s="20"/>
      <c r="E18" s="20">
        <v>140</v>
      </c>
      <c r="F18" s="26">
        <f t="shared" si="0"/>
        <v>13797910</v>
      </c>
      <c r="H18" s="56"/>
      <c r="I18" s="56"/>
      <c r="J18" s="57"/>
      <c r="K18" s="57"/>
      <c r="L18" s="57"/>
      <c r="N18" s="56"/>
      <c r="O18" s="56"/>
      <c r="P18" s="57"/>
      <c r="Q18" s="57"/>
      <c r="R18" s="57"/>
    </row>
    <row r="19" spans="2:18" ht="20.100000000000001" customHeight="1">
      <c r="B19" s="21">
        <v>45889</v>
      </c>
      <c r="C19" s="19" t="s">
        <v>53</v>
      </c>
      <c r="D19" s="20">
        <v>2500000</v>
      </c>
      <c r="E19" s="20"/>
      <c r="F19" s="26">
        <f t="shared" si="0"/>
        <v>16297910</v>
      </c>
      <c r="H19" s="56"/>
      <c r="I19" s="56"/>
      <c r="J19" s="57"/>
      <c r="K19" s="57"/>
      <c r="L19" s="57"/>
      <c r="N19" s="56"/>
      <c r="O19" s="56"/>
      <c r="P19" s="57"/>
      <c r="Q19" s="57"/>
      <c r="R19" s="57"/>
    </row>
    <row r="20" spans="2:18" ht="20.100000000000001" customHeight="1">
      <c r="B20" s="21">
        <v>45903</v>
      </c>
      <c r="C20" s="19" t="s">
        <v>54</v>
      </c>
      <c r="D20" s="20"/>
      <c r="E20" s="20">
        <v>2000000</v>
      </c>
      <c r="F20" s="26">
        <f t="shared" si="0"/>
        <v>14297910</v>
      </c>
      <c r="H20" s="56"/>
      <c r="I20" s="56"/>
      <c r="J20" s="57"/>
      <c r="K20" s="57"/>
      <c r="L20" s="57"/>
      <c r="N20" s="56"/>
      <c r="O20" s="56"/>
      <c r="P20" s="57"/>
      <c r="Q20" s="57"/>
      <c r="R20" s="57"/>
    </row>
    <row r="21" spans="2:18" ht="20.100000000000001" customHeight="1">
      <c r="B21" s="21">
        <v>45927</v>
      </c>
      <c r="C21" s="19" t="s">
        <v>55</v>
      </c>
      <c r="D21" s="20"/>
      <c r="E21" s="20">
        <v>900</v>
      </c>
      <c r="F21" s="26">
        <f t="shared" si="0"/>
        <v>14297010</v>
      </c>
      <c r="H21" s="56"/>
      <c r="I21" s="56"/>
      <c r="J21" s="57"/>
      <c r="K21" s="57"/>
      <c r="L21" s="57"/>
      <c r="N21" s="56"/>
      <c r="O21" s="56"/>
      <c r="P21" s="57"/>
      <c r="Q21" s="57"/>
      <c r="R21" s="57"/>
    </row>
    <row r="22" spans="2:18" ht="20.100000000000001" customHeight="1">
      <c r="B22" s="21">
        <v>45969</v>
      </c>
      <c r="C22" s="19" t="s">
        <v>46</v>
      </c>
      <c r="D22" s="20">
        <v>5500000</v>
      </c>
      <c r="E22" s="20"/>
      <c r="F22" s="26">
        <f t="shared" si="0"/>
        <v>19797010</v>
      </c>
      <c r="H22" s="56"/>
      <c r="I22" s="56"/>
      <c r="J22" s="57"/>
      <c r="K22" s="57"/>
      <c r="L22" s="57"/>
      <c r="N22" s="56"/>
      <c r="O22" s="56"/>
      <c r="P22" s="57"/>
      <c r="Q22" s="57"/>
      <c r="R22" s="57"/>
    </row>
    <row r="23" spans="2:18" ht="18">
      <c r="B23" s="21">
        <v>45986</v>
      </c>
      <c r="C23" s="19" t="s">
        <v>59</v>
      </c>
      <c r="D23" s="17"/>
      <c r="E23" s="17">
        <v>200</v>
      </c>
      <c r="F23" s="26">
        <f t="shared" si="0"/>
        <v>19796810</v>
      </c>
    </row>
    <row r="24" spans="2:18" ht="18">
      <c r="B24" s="21">
        <v>45996</v>
      </c>
      <c r="C24" s="19" t="s">
        <v>60</v>
      </c>
      <c r="D24" s="17"/>
      <c r="E24" s="17">
        <v>350</v>
      </c>
      <c r="F24" s="26">
        <f t="shared" si="0"/>
        <v>19796460</v>
      </c>
    </row>
    <row r="25" spans="2:18" ht="18">
      <c r="B25" s="21">
        <v>46006</v>
      </c>
      <c r="C25" s="19" t="s">
        <v>63</v>
      </c>
      <c r="D25" s="17">
        <v>4000000</v>
      </c>
      <c r="E25" s="17"/>
      <c r="F25" s="26">
        <f t="shared" si="0"/>
        <v>23796460</v>
      </c>
    </row>
  </sheetData>
  <mergeCells count="9">
    <mergeCell ref="H9:L9"/>
    <mergeCell ref="H10:L10"/>
    <mergeCell ref="T2:X2"/>
    <mergeCell ref="B2:F2"/>
    <mergeCell ref="B3:F3"/>
    <mergeCell ref="H2:L2"/>
    <mergeCell ref="H3:L3"/>
    <mergeCell ref="N2:R2"/>
    <mergeCell ref="N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Diario</vt:lpstr>
      <vt:lpstr>22 03 2025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</dc:creator>
  <cp:lastModifiedBy>sara torres manrique</cp:lastModifiedBy>
  <dcterms:created xsi:type="dcterms:W3CDTF">2025-11-11T04:04:22Z</dcterms:created>
  <dcterms:modified xsi:type="dcterms:W3CDTF">2025-11-16T23:58:00Z</dcterms:modified>
</cp:coreProperties>
</file>