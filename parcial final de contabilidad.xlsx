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 TORRES\Documents\"/>
    </mc:Choice>
  </mc:AlternateContent>
  <xr:revisionPtr revIDLastSave="0" documentId="8_{3A7B245A-B3A1-4805-BA4E-55FAB3CAA515}" xr6:coauthVersionLast="47" xr6:coauthVersionMax="47" xr10:uidLastSave="{00000000-0000-0000-0000-000000000000}"/>
  <bookViews>
    <workbookView xWindow="-108" yWindow="-108" windowWidth="23256" windowHeight="12456" activeTab="2" xr2:uid="{FBC65879-F467-4E6B-99A3-50859CA55D1A}"/>
  </bookViews>
  <sheets>
    <sheet name="LIBRO DIARIO" sheetId="1" r:id="rId1"/>
    <sheet name="LIBRO MAYOR" sheetId="2" r:id="rId2"/>
    <sheet name="BALANCE DE COMPROBAC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D14" i="3"/>
  <c r="L52" i="2"/>
  <c r="L51" i="2"/>
  <c r="L46" i="2"/>
  <c r="L45" i="2"/>
  <c r="L40" i="2"/>
  <c r="L39" i="2"/>
  <c r="L33" i="2"/>
  <c r="L32" i="2"/>
  <c r="L31" i="2"/>
  <c r="L25" i="2"/>
  <c r="L24" i="2"/>
  <c r="L23" i="2"/>
  <c r="L17" i="2"/>
  <c r="L16" i="2"/>
  <c r="L15" i="2"/>
  <c r="L9" i="2"/>
  <c r="L8" i="2"/>
  <c r="L7" i="2"/>
  <c r="F38" i="2"/>
  <c r="F39" i="2"/>
  <c r="F40" i="2"/>
  <c r="F37" i="2"/>
  <c r="F36" i="2"/>
  <c r="F30" i="2"/>
  <c r="F28" i="2"/>
  <c r="F29" i="2" s="1"/>
  <c r="F27" i="2"/>
  <c r="F26" i="2"/>
  <c r="F13" i="2"/>
  <c r="F20" i="2"/>
  <c r="F19" i="2"/>
  <c r="F9" i="2"/>
  <c r="F10" i="2" s="1"/>
  <c r="F11" i="2" s="1"/>
  <c r="F12" i="2" s="1"/>
  <c r="F8" i="2"/>
  <c r="F7" i="2"/>
</calcChain>
</file>

<file path=xl/sharedStrings.xml><?xml version="1.0" encoding="utf-8"?>
<sst xmlns="http://schemas.openxmlformats.org/spreadsheetml/2006/main" count="209" uniqueCount="74">
  <si>
    <t>Comercial los Llanos S.A.S.</t>
  </si>
  <si>
    <t>LIBRO DIARIO</t>
  </si>
  <si>
    <t>fecha</t>
  </si>
  <si>
    <t>Concepto</t>
  </si>
  <si>
    <t>Código</t>
  </si>
  <si>
    <t>Cuenta</t>
  </si>
  <si>
    <t>Debe</t>
  </si>
  <si>
    <t>Haber</t>
  </si>
  <si>
    <t>Caja</t>
  </si>
  <si>
    <t>Aportes de socios en efectivo.</t>
  </si>
  <si>
    <t>Inventarios</t>
  </si>
  <si>
    <t>Costo de ventas</t>
  </si>
  <si>
    <t>Venta a credito</t>
  </si>
  <si>
    <t xml:space="preserve">Clientes </t>
  </si>
  <si>
    <t xml:space="preserve">Costo de ventas </t>
  </si>
  <si>
    <t>Gasto de personal</t>
  </si>
  <si>
    <t>comercial los llanos S.A.S</t>
  </si>
  <si>
    <t>LIBRO MAYOR</t>
  </si>
  <si>
    <t>Cuenta:</t>
  </si>
  <si>
    <t>Fecha</t>
  </si>
  <si>
    <t>Saldo</t>
  </si>
  <si>
    <t>Codigo</t>
  </si>
  <si>
    <t>Dede</t>
  </si>
  <si>
    <t>Capital social</t>
  </si>
  <si>
    <t>Consignacion a banco</t>
  </si>
  <si>
    <t>Bancos</t>
  </si>
  <si>
    <t>Consignacion  a banco</t>
  </si>
  <si>
    <t xml:space="preserve">Compra de mercancia a credito </t>
  </si>
  <si>
    <t xml:space="preserve">Compra de mercancia en efectivo </t>
  </si>
  <si>
    <t xml:space="preserve"> venta en efectivo</t>
  </si>
  <si>
    <t xml:space="preserve">costovde venta </t>
  </si>
  <si>
    <t>costo de venta</t>
  </si>
  <si>
    <t>pago a proveedor desde banco</t>
  </si>
  <si>
    <t xml:space="preserve">pago de arriendo en efectvo </t>
  </si>
  <si>
    <t>pago de arriendo efectivo</t>
  </si>
  <si>
    <t>cobro a cliente via nequi</t>
  </si>
  <si>
    <t>pago servicios publicos efectivo</t>
  </si>
  <si>
    <t>pago de servcios publicos efectivo</t>
  </si>
  <si>
    <t>pago de nomina por transferencia</t>
  </si>
  <si>
    <t xml:space="preserve">Proveeedores </t>
  </si>
  <si>
    <t>Servicios publicos</t>
  </si>
  <si>
    <t>1105 CAJA</t>
  </si>
  <si>
    <t>3110 CAPITAL SOCIAL</t>
  </si>
  <si>
    <t>1110 BANCOS</t>
  </si>
  <si>
    <t>1435 INVENTARIOS</t>
  </si>
  <si>
    <t>2205 PROVEEDORES</t>
  </si>
  <si>
    <t>4135 VENTAS</t>
  </si>
  <si>
    <t>6135 COSTO DE VENTAS</t>
  </si>
  <si>
    <t>1305 CLIENTES</t>
  </si>
  <si>
    <t>5120 ARRENDAMIENTOS</t>
  </si>
  <si>
    <t>5130 SERVICIOS PUBLICOS</t>
  </si>
  <si>
    <t>5105 GASTO DE PERSONAL</t>
  </si>
  <si>
    <t xml:space="preserve"> Venta en efectivo</t>
  </si>
  <si>
    <t xml:space="preserve">Costovde venta </t>
  </si>
  <si>
    <t>Costo de venta</t>
  </si>
  <si>
    <t>Pago a proveedor desde banco</t>
  </si>
  <si>
    <t xml:space="preserve">Pago de arriendo en efectvo </t>
  </si>
  <si>
    <t>Pago de arriendo efectivo</t>
  </si>
  <si>
    <t>Cobro a cliente via nequi</t>
  </si>
  <si>
    <t>Pago servicios publicos efectivo</t>
  </si>
  <si>
    <t>Pago de servcios publicos efectivo</t>
  </si>
  <si>
    <t>Pago de nomina por transferencia</t>
  </si>
  <si>
    <t>Arrendamientos</t>
  </si>
  <si>
    <t>Ventas</t>
  </si>
  <si>
    <t>Bncos</t>
  </si>
  <si>
    <t>Proveedores</t>
  </si>
  <si>
    <t>Clientes</t>
  </si>
  <si>
    <t>sumas iguales:</t>
  </si>
  <si>
    <t>COEVALUACIÓN. SEGUIMIENTO 3</t>
  </si>
  <si>
    <t>Asistencia a clase</t>
  </si>
  <si>
    <t>Participación en clase</t>
  </si>
  <si>
    <t>Responsabilidad</t>
  </si>
  <si>
    <t xml:space="preserve">Sara Katherine Torres </t>
  </si>
  <si>
    <t>Farley Steven Gamboa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</si>
</sst>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0"/>
      <name val="Arial Narrow"/>
      <family val="2"/>
    </font>
    <font>
      <b/>
      <sz val="14"/>
      <color theme="0"/>
      <name val="Arial Narrow"/>
      <family val="2"/>
    </font>
    <font>
      <sz val="16"/>
      <name val="Arial Narrow"/>
      <family val="2"/>
    </font>
    <font>
      <sz val="12"/>
      <name val="Arial Narrow"/>
      <family val="2"/>
    </font>
    <font>
      <sz val="14"/>
      <name val="Arial Narrow"/>
      <family val="2"/>
    </font>
    <font>
      <b/>
      <sz val="28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1793B"/>
        <bgColor indexed="64"/>
      </patternFill>
    </fill>
    <fill>
      <patternFill patternType="solid">
        <fgColor theme="9" tint="0.39997558519241921"/>
        <bgColor indexed="64"/>
      </patternFill>
    </fill>
    <fill>
      <gradientFill>
        <stop position="0">
          <color theme="9" tint="0.59999389629810485"/>
        </stop>
        <stop position="1">
          <color theme="0" tint="-5.0965910824915313E-2"/>
        </stop>
      </gradientFill>
    </fill>
    <fill>
      <patternFill patternType="solid">
        <fgColor theme="9" tint="0.79998168889431442"/>
        <bgColor indexed="64"/>
      </patternFill>
    </fill>
    <fill>
      <gradientFill degree="180">
        <stop position="0">
          <color theme="0"/>
        </stop>
        <stop position="1">
          <color theme="9" tint="0.59999389629810485"/>
        </stop>
      </gradientFill>
    </fill>
    <fill>
      <patternFill patternType="solid">
        <fgColor theme="9" tint="-0.249977111117893"/>
        <bgColor indexed="64"/>
      </patternFill>
    </fill>
    <fill>
      <gradientFill degree="180">
        <stop position="0">
          <color theme="0"/>
        </stop>
        <stop position="1">
          <color theme="9" tint="0.40000610370189521"/>
        </stop>
      </gradientFill>
    </fill>
    <fill>
      <gradientFill degree="180">
        <stop position="0">
          <color theme="9" tint="0.59999389629810485"/>
        </stop>
        <stop position="1">
          <color theme="0" tint="-5.0965910824915313E-2"/>
        </stop>
      </gradientFill>
    </fill>
    <fill>
      <patternFill patternType="solid">
        <fgColor rgb="FFFF99CC"/>
        <bgColor indexed="64"/>
      </patternFill>
    </fill>
    <fill>
      <gradientFill degree="90">
        <stop position="0">
          <color theme="0"/>
        </stop>
        <stop position="1">
          <color rgb="FFFF99CC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11793B"/>
      </left>
      <right style="thick">
        <color rgb="FF11793B"/>
      </right>
      <top style="thick">
        <color rgb="FF11793B"/>
      </top>
      <bottom style="thick">
        <color rgb="FF11793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4" fontId="6" fillId="3" borderId="7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/>
    </xf>
    <xf numFmtId="14" fontId="7" fillId="4" borderId="7" xfId="0" applyNumberFormat="1" applyFont="1" applyFill="1" applyBorder="1" applyAlignment="1">
      <alignment vertical="center"/>
    </xf>
    <xf numFmtId="0" fontId="8" fillId="4" borderId="7" xfId="0" applyFont="1" applyFill="1" applyBorder="1"/>
    <xf numFmtId="164" fontId="8" fillId="4" borderId="7" xfId="1" applyNumberFormat="1" applyFont="1" applyFill="1" applyBorder="1" applyAlignment="1">
      <alignment horizontal="right"/>
    </xf>
    <xf numFmtId="164" fontId="8" fillId="4" borderId="7" xfId="1" applyNumberFormat="1" applyFont="1" applyFill="1" applyBorder="1" applyAlignment="1"/>
    <xf numFmtId="14" fontId="7" fillId="4" borderId="7" xfId="0" applyNumberFormat="1" applyFont="1" applyFill="1" applyBorder="1"/>
    <xf numFmtId="164" fontId="8" fillId="4" borderId="7" xfId="0" applyNumberFormat="1" applyFont="1" applyFill="1" applyBorder="1" applyAlignment="1">
      <alignment horizontal="right"/>
    </xf>
    <xf numFmtId="0" fontId="2" fillId="2" borderId="8" xfId="0" applyFont="1" applyFill="1" applyBorder="1" applyAlignment="1">
      <alignment horizontal="center"/>
    </xf>
    <xf numFmtId="0" fontId="10" fillId="3" borderId="8" xfId="0" applyFont="1" applyFill="1" applyBorder="1"/>
    <xf numFmtId="0" fontId="3" fillId="3" borderId="8" xfId="0" applyFont="1" applyFill="1" applyBorder="1"/>
    <xf numFmtId="0" fontId="10" fillId="5" borderId="8" xfId="0" applyFont="1" applyFill="1" applyBorder="1" applyAlignment="1">
      <alignment horizontal="center"/>
    </xf>
    <xf numFmtId="14" fontId="7" fillId="6" borderId="8" xfId="0" applyNumberFormat="1" applyFont="1" applyFill="1" applyBorder="1"/>
    <xf numFmtId="164" fontId="11" fillId="6" borderId="8" xfId="0" applyNumberFormat="1" applyFont="1" applyFill="1" applyBorder="1"/>
    <xf numFmtId="164" fontId="0" fillId="6" borderId="8" xfId="0" applyNumberFormat="1" applyFill="1" applyBorder="1"/>
    <xf numFmtId="0" fontId="0" fillId="6" borderId="8" xfId="0" applyFill="1" applyBorder="1"/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2" fillId="7" borderId="8" xfId="0" applyFont="1" applyFill="1" applyBorder="1" applyAlignment="1">
      <alignment horizontal="center"/>
    </xf>
    <xf numFmtId="14" fontId="7" fillId="0" borderId="0" xfId="0" applyNumberFormat="1" applyFont="1" applyFill="1" applyBorder="1"/>
    <xf numFmtId="0" fontId="8" fillId="0" borderId="0" xfId="0" applyFont="1" applyFill="1" applyBorder="1"/>
    <xf numFmtId="164" fontId="8" fillId="0" borderId="0" xfId="0" applyNumberFormat="1" applyFont="1" applyFill="1" applyBorder="1" applyAlignment="1">
      <alignment horizontal="right"/>
    </xf>
    <xf numFmtId="14" fontId="7" fillId="0" borderId="0" xfId="0" applyNumberFormat="1" applyFont="1" applyFill="1" applyBorder="1" applyAlignment="1">
      <alignment vertical="center"/>
    </xf>
    <xf numFmtId="14" fontId="7" fillId="4" borderId="8" xfId="0" applyNumberFormat="1" applyFont="1" applyFill="1" applyBorder="1" applyAlignment="1">
      <alignment vertical="center"/>
    </xf>
    <xf numFmtId="0" fontId="8" fillId="4" borderId="8" xfId="0" applyFont="1" applyFill="1" applyBorder="1"/>
    <xf numFmtId="14" fontId="7" fillId="4" borderId="8" xfId="0" applyNumberFormat="1" applyFont="1" applyFill="1" applyBorder="1"/>
    <xf numFmtId="14" fontId="7" fillId="9" borderId="8" xfId="0" applyNumberFormat="1" applyFont="1" applyFill="1" applyBorder="1" applyAlignment="1">
      <alignment vertical="center"/>
    </xf>
    <xf numFmtId="0" fontId="8" fillId="9" borderId="8" xfId="0" applyFont="1" applyFill="1" applyBorder="1"/>
    <xf numFmtId="164" fontId="11" fillId="9" borderId="8" xfId="0" applyNumberFormat="1" applyFont="1" applyFill="1" applyBorder="1"/>
    <xf numFmtId="164" fontId="0" fillId="9" borderId="8" xfId="0" applyNumberFormat="1" applyFill="1" applyBorder="1"/>
    <xf numFmtId="14" fontId="7" fillId="9" borderId="8" xfId="0" applyNumberFormat="1" applyFont="1" applyFill="1" applyBorder="1"/>
    <xf numFmtId="164" fontId="0" fillId="0" borderId="0" xfId="0" applyNumberFormat="1" applyFill="1" applyBorder="1"/>
    <xf numFmtId="0" fontId="0" fillId="0" borderId="0" xfId="0" applyFill="1" applyBorder="1"/>
    <xf numFmtId="0" fontId="10" fillId="5" borderId="9" xfId="0" applyFont="1" applyFill="1" applyBorder="1" applyAlignment="1">
      <alignment horizontal="center"/>
    </xf>
    <xf numFmtId="14" fontId="7" fillId="6" borderId="8" xfId="0" applyNumberFormat="1" applyFont="1" applyFill="1" applyBorder="1" applyAlignment="1">
      <alignment vertical="center"/>
    </xf>
    <xf numFmtId="0" fontId="8" fillId="6" borderId="8" xfId="0" applyFont="1" applyFill="1" applyBorder="1"/>
    <xf numFmtId="164" fontId="0" fillId="0" borderId="0" xfId="0" applyNumberFormat="1" applyFont="1" applyFill="1" applyBorder="1"/>
    <xf numFmtId="0" fontId="8" fillId="6" borderId="7" xfId="0" applyFont="1" applyFill="1" applyBorder="1"/>
    <xf numFmtId="164" fontId="0" fillId="6" borderId="8" xfId="0" applyNumberFormat="1" applyFont="1" applyFill="1" applyBorder="1"/>
    <xf numFmtId="164" fontId="11" fillId="4" borderId="8" xfId="0" applyNumberFormat="1" applyFont="1" applyFill="1" applyBorder="1"/>
    <xf numFmtId="164" fontId="0" fillId="4" borderId="8" xfId="0" applyNumberFormat="1" applyFont="1" applyFill="1" applyBorder="1"/>
    <xf numFmtId="0" fontId="0" fillId="4" borderId="8" xfId="0" applyFill="1" applyBorder="1"/>
    <xf numFmtId="0" fontId="0" fillId="8" borderId="8" xfId="0" applyFill="1" applyBorder="1" applyAlignment="1">
      <alignment horizontal="left"/>
    </xf>
    <xf numFmtId="0" fontId="0" fillId="8" borderId="9" xfId="0" applyFill="1" applyBorder="1" applyAlignment="1">
      <alignment horizontal="left"/>
    </xf>
    <xf numFmtId="0" fontId="0" fillId="8" borderId="8" xfId="0" applyFill="1" applyBorder="1" applyAlignment="1">
      <alignment horizontal="right"/>
    </xf>
    <xf numFmtId="164" fontId="0" fillId="8" borderId="8" xfId="0" applyNumberFormat="1" applyFill="1" applyBorder="1" applyAlignment="1">
      <alignment horizontal="right"/>
    </xf>
    <xf numFmtId="0" fontId="0" fillId="8" borderId="9" xfId="0" applyFill="1" applyBorder="1" applyAlignment="1">
      <alignment horizontal="right"/>
    </xf>
    <xf numFmtId="164" fontId="0" fillId="8" borderId="9" xfId="0" applyNumberFormat="1" applyFill="1" applyBorder="1" applyAlignment="1">
      <alignment horizontal="right"/>
    </xf>
    <xf numFmtId="0" fontId="0" fillId="8" borderId="1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10" borderId="8" xfId="0" applyFill="1" applyBorder="1"/>
    <xf numFmtId="0" fontId="0" fillId="12" borderId="8" xfId="0" applyFill="1" applyBorder="1" applyAlignment="1">
      <alignment horizontal="center" vertical="center"/>
    </xf>
    <xf numFmtId="0" fontId="3" fillId="11" borderId="8" xfId="0" applyFont="1" applyFill="1" applyBorder="1" applyAlignment="1">
      <alignment horizontal="left"/>
    </xf>
    <xf numFmtId="0" fontId="0" fillId="13" borderId="8" xfId="0" applyFill="1" applyBorder="1"/>
    <xf numFmtId="0" fontId="3" fillId="14" borderId="8" xfId="0" applyFont="1" applyFill="1" applyBorder="1" applyAlignment="1">
      <alignment horizontal="left"/>
    </xf>
    <xf numFmtId="0" fontId="0" fillId="12" borderId="8" xfId="0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99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1FCE-C0F2-420A-8292-537B1CA71736}">
  <dimension ref="B3:H40"/>
  <sheetViews>
    <sheetView topLeftCell="D12" zoomScale="107" workbookViewId="0">
      <selection activeCell="E11" sqref="E11"/>
    </sheetView>
  </sheetViews>
  <sheetFormatPr baseColWidth="10" defaultRowHeight="14.4" x14ac:dyDescent="0.3"/>
  <cols>
    <col min="2" max="2" width="22" customWidth="1"/>
    <col min="3" max="3" width="53.33203125" customWidth="1"/>
    <col min="4" max="4" width="20.77734375" customWidth="1"/>
    <col min="5" max="5" width="49.77734375" customWidth="1"/>
    <col min="6" max="6" width="25" customWidth="1"/>
    <col min="7" max="7" width="31.109375" customWidth="1"/>
  </cols>
  <sheetData>
    <row r="3" spans="2:7" ht="44.4" x14ac:dyDescent="0.3">
      <c r="B3" s="1" t="s">
        <v>0</v>
      </c>
      <c r="C3" s="2"/>
      <c r="D3" s="2"/>
      <c r="E3" s="2"/>
      <c r="F3" s="2"/>
      <c r="G3" s="3"/>
    </row>
    <row r="4" spans="2:7" ht="18.600000000000001" thickBot="1" x14ac:dyDescent="0.35">
      <c r="B4" s="4" t="s">
        <v>1</v>
      </c>
      <c r="C4" s="5"/>
      <c r="D4" s="5"/>
      <c r="E4" s="5"/>
      <c r="F4" s="5"/>
      <c r="G4" s="6"/>
    </row>
    <row r="5" spans="2:7" ht="21.6" thickTop="1" thickBot="1" x14ac:dyDescent="0.4">
      <c r="B5" s="7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</row>
    <row r="6" spans="2:7" ht="19.2" thickTop="1" thickBot="1" x14ac:dyDescent="0.4">
      <c r="B6" s="9">
        <v>45658</v>
      </c>
      <c r="C6" s="10" t="s">
        <v>9</v>
      </c>
      <c r="D6" s="10">
        <v>1105</v>
      </c>
      <c r="E6" s="45" t="s">
        <v>8</v>
      </c>
      <c r="F6" s="11">
        <v>10000000</v>
      </c>
      <c r="G6" s="11"/>
    </row>
    <row r="7" spans="2:7" ht="19.2" thickTop="1" thickBot="1" x14ac:dyDescent="0.4">
      <c r="B7" s="9">
        <v>45658</v>
      </c>
      <c r="C7" s="10" t="s">
        <v>9</v>
      </c>
      <c r="D7" s="10">
        <v>3110</v>
      </c>
      <c r="E7" s="45" t="s">
        <v>23</v>
      </c>
      <c r="F7" s="11"/>
      <c r="G7" s="11">
        <v>10000000</v>
      </c>
    </row>
    <row r="8" spans="2:7" ht="19.2" thickTop="1" thickBot="1" x14ac:dyDescent="0.4">
      <c r="B8" s="9">
        <v>45660</v>
      </c>
      <c r="C8" s="10" t="s">
        <v>24</v>
      </c>
      <c r="D8" s="10">
        <v>1110</v>
      </c>
      <c r="E8" s="45" t="s">
        <v>25</v>
      </c>
      <c r="F8" s="12">
        <v>6000000</v>
      </c>
      <c r="G8" s="11"/>
    </row>
    <row r="9" spans="2:7" ht="19.2" thickTop="1" thickBot="1" x14ac:dyDescent="0.4">
      <c r="B9" s="9">
        <v>45660</v>
      </c>
      <c r="C9" s="10" t="s">
        <v>26</v>
      </c>
      <c r="D9" s="10">
        <v>1105</v>
      </c>
      <c r="E9" s="45" t="s">
        <v>8</v>
      </c>
      <c r="F9" s="11"/>
      <c r="G9" s="11">
        <v>6000000</v>
      </c>
    </row>
    <row r="10" spans="2:7" ht="19.2" thickTop="1" thickBot="1" x14ac:dyDescent="0.4">
      <c r="B10" s="9">
        <v>45662</v>
      </c>
      <c r="C10" s="10" t="s">
        <v>27</v>
      </c>
      <c r="D10" s="10">
        <v>1435</v>
      </c>
      <c r="E10" s="45" t="s">
        <v>10</v>
      </c>
      <c r="F10" s="11">
        <v>3000000</v>
      </c>
      <c r="G10" s="11"/>
    </row>
    <row r="11" spans="2:7" ht="19.2" thickTop="1" thickBot="1" x14ac:dyDescent="0.4">
      <c r="B11" s="9">
        <v>45662</v>
      </c>
      <c r="C11" s="10" t="s">
        <v>27</v>
      </c>
      <c r="D11" s="10">
        <v>2205</v>
      </c>
      <c r="E11" s="45" t="s">
        <v>39</v>
      </c>
      <c r="F11" s="11"/>
      <c r="G11" s="11">
        <v>3000000</v>
      </c>
    </row>
    <row r="12" spans="2:7" ht="19.2" thickTop="1" thickBot="1" x14ac:dyDescent="0.4">
      <c r="B12" s="9">
        <v>45667</v>
      </c>
      <c r="C12" s="10" t="s">
        <v>28</v>
      </c>
      <c r="D12" s="10">
        <v>1435</v>
      </c>
      <c r="E12" s="45" t="s">
        <v>10</v>
      </c>
      <c r="F12" s="11">
        <v>2000000</v>
      </c>
      <c r="G12" s="11"/>
    </row>
    <row r="13" spans="2:7" ht="19.2" thickTop="1" thickBot="1" x14ac:dyDescent="0.4">
      <c r="B13" s="9">
        <v>45667</v>
      </c>
      <c r="C13" s="10" t="s">
        <v>28</v>
      </c>
      <c r="D13" s="10">
        <v>1105</v>
      </c>
      <c r="E13" s="45" t="s">
        <v>8</v>
      </c>
      <c r="F13" s="11"/>
      <c r="G13" s="11">
        <v>2000000</v>
      </c>
    </row>
    <row r="14" spans="2:7" ht="19.2" thickTop="1" thickBot="1" x14ac:dyDescent="0.4">
      <c r="B14" s="9">
        <v>45669</v>
      </c>
      <c r="C14" s="10" t="s">
        <v>52</v>
      </c>
      <c r="D14" s="10">
        <v>1105</v>
      </c>
      <c r="E14" s="45" t="s">
        <v>8</v>
      </c>
      <c r="F14" s="11">
        <v>4000000</v>
      </c>
      <c r="G14" s="11"/>
    </row>
    <row r="15" spans="2:7" ht="19.2" thickTop="1" thickBot="1" x14ac:dyDescent="0.4">
      <c r="B15" s="9">
        <v>45669</v>
      </c>
      <c r="C15" s="10" t="s">
        <v>52</v>
      </c>
      <c r="D15" s="10">
        <v>4135</v>
      </c>
      <c r="E15" s="45" t="s">
        <v>63</v>
      </c>
      <c r="F15" s="11"/>
      <c r="G15" s="11">
        <v>4000000</v>
      </c>
    </row>
    <row r="16" spans="2:7" ht="19.2" thickTop="1" thickBot="1" x14ac:dyDescent="0.4">
      <c r="B16" s="9">
        <v>45669</v>
      </c>
      <c r="C16" s="10" t="s">
        <v>11</v>
      </c>
      <c r="D16" s="10">
        <v>6135</v>
      </c>
      <c r="E16" s="45" t="s">
        <v>14</v>
      </c>
      <c r="F16" s="11">
        <v>2400000</v>
      </c>
      <c r="G16" s="11"/>
    </row>
    <row r="17" spans="2:7" ht="19.2" thickTop="1" thickBot="1" x14ac:dyDescent="0.4">
      <c r="B17" s="13">
        <v>45669</v>
      </c>
      <c r="C17" s="10" t="s">
        <v>53</v>
      </c>
      <c r="D17" s="10">
        <v>1435</v>
      </c>
      <c r="E17" s="45" t="s">
        <v>10</v>
      </c>
      <c r="F17" s="11"/>
      <c r="G17" s="11">
        <v>2400000</v>
      </c>
    </row>
    <row r="18" spans="2:7" ht="19.2" thickTop="1" thickBot="1" x14ac:dyDescent="0.4">
      <c r="B18" s="13">
        <v>45672</v>
      </c>
      <c r="C18" s="10" t="s">
        <v>12</v>
      </c>
      <c r="D18" s="10">
        <v>1305</v>
      </c>
      <c r="E18" s="45" t="s">
        <v>13</v>
      </c>
      <c r="F18" s="11">
        <v>2500000</v>
      </c>
      <c r="G18" s="11"/>
    </row>
    <row r="19" spans="2:7" ht="19.2" thickTop="1" thickBot="1" x14ac:dyDescent="0.4">
      <c r="B19" s="13">
        <v>45672</v>
      </c>
      <c r="C19" s="10" t="s">
        <v>12</v>
      </c>
      <c r="D19" s="10">
        <v>4135</v>
      </c>
      <c r="E19" s="45" t="s">
        <v>63</v>
      </c>
      <c r="F19" s="11"/>
      <c r="G19" s="11">
        <v>2500000</v>
      </c>
    </row>
    <row r="20" spans="2:7" ht="19.2" thickTop="1" thickBot="1" x14ac:dyDescent="0.4">
      <c r="B20" s="9">
        <v>45672</v>
      </c>
      <c r="C20" s="10" t="s">
        <v>54</v>
      </c>
      <c r="D20" s="10">
        <v>6135</v>
      </c>
      <c r="E20" s="45" t="s">
        <v>14</v>
      </c>
      <c r="F20" s="11">
        <v>1500000</v>
      </c>
      <c r="G20" s="11"/>
    </row>
    <row r="21" spans="2:7" ht="19.2" thickTop="1" thickBot="1" x14ac:dyDescent="0.4">
      <c r="B21" s="13">
        <v>45672</v>
      </c>
      <c r="C21" s="10" t="s">
        <v>54</v>
      </c>
      <c r="D21" s="10">
        <v>1435</v>
      </c>
      <c r="E21" s="45" t="s">
        <v>10</v>
      </c>
      <c r="F21" s="11"/>
      <c r="G21" s="11">
        <v>1500000</v>
      </c>
    </row>
    <row r="22" spans="2:7" ht="19.2" thickTop="1" thickBot="1" x14ac:dyDescent="0.4">
      <c r="B22" s="13">
        <v>45677</v>
      </c>
      <c r="C22" s="10" t="s">
        <v>55</v>
      </c>
      <c r="D22" s="10">
        <v>2205</v>
      </c>
      <c r="E22" s="45" t="s">
        <v>39</v>
      </c>
      <c r="F22" s="11">
        <v>1000000</v>
      </c>
      <c r="G22" s="11"/>
    </row>
    <row r="23" spans="2:7" ht="19.2" thickTop="1" thickBot="1" x14ac:dyDescent="0.4">
      <c r="B23" s="9">
        <v>45677</v>
      </c>
      <c r="C23" s="10" t="s">
        <v>55</v>
      </c>
      <c r="D23" s="10">
        <v>1110</v>
      </c>
      <c r="E23" s="45" t="s">
        <v>25</v>
      </c>
      <c r="F23" s="11"/>
      <c r="G23" s="11">
        <v>1000000</v>
      </c>
    </row>
    <row r="24" spans="2:7" ht="19.2" thickTop="1" thickBot="1" x14ac:dyDescent="0.4">
      <c r="B24" s="9">
        <v>45679</v>
      </c>
      <c r="C24" s="10" t="s">
        <v>56</v>
      </c>
      <c r="D24" s="10">
        <v>5120</v>
      </c>
      <c r="E24" s="45" t="s">
        <v>62</v>
      </c>
      <c r="F24" s="11">
        <v>500000</v>
      </c>
      <c r="G24" s="11"/>
    </row>
    <row r="25" spans="2:7" ht="19.2" thickTop="1" thickBot="1" x14ac:dyDescent="0.4">
      <c r="B25" s="9">
        <v>45679</v>
      </c>
      <c r="C25" s="10" t="s">
        <v>57</v>
      </c>
      <c r="D25" s="10">
        <v>1105</v>
      </c>
      <c r="E25" s="45" t="s">
        <v>8</v>
      </c>
      <c r="F25" s="14"/>
      <c r="G25" s="14">
        <v>500000</v>
      </c>
    </row>
    <row r="26" spans="2:7" ht="19.2" thickTop="1" thickBot="1" x14ac:dyDescent="0.4">
      <c r="B26" s="13">
        <v>45682</v>
      </c>
      <c r="C26" s="10" t="s">
        <v>58</v>
      </c>
      <c r="D26" s="10">
        <v>1110</v>
      </c>
      <c r="E26" s="45" t="s">
        <v>25</v>
      </c>
      <c r="F26" s="14">
        <v>1500000</v>
      </c>
      <c r="G26" s="14"/>
    </row>
    <row r="27" spans="2:7" ht="19.2" thickTop="1" thickBot="1" x14ac:dyDescent="0.4">
      <c r="B27" s="13">
        <v>45682</v>
      </c>
      <c r="C27" s="10" t="s">
        <v>58</v>
      </c>
      <c r="D27" s="10">
        <v>1305</v>
      </c>
      <c r="E27" s="45" t="s">
        <v>13</v>
      </c>
      <c r="F27" s="14"/>
      <c r="G27" s="14">
        <v>1500000</v>
      </c>
    </row>
    <row r="28" spans="2:7" ht="19.2" thickTop="1" thickBot="1" x14ac:dyDescent="0.4">
      <c r="B28" s="13">
        <v>45685</v>
      </c>
      <c r="C28" s="10" t="s">
        <v>59</v>
      </c>
      <c r="D28" s="10">
        <v>5130</v>
      </c>
      <c r="E28" s="45" t="s">
        <v>40</v>
      </c>
      <c r="F28" s="14">
        <v>120000</v>
      </c>
      <c r="G28" s="14"/>
    </row>
    <row r="29" spans="2:7" ht="19.2" thickTop="1" thickBot="1" x14ac:dyDescent="0.4">
      <c r="B29" s="13">
        <v>45685</v>
      </c>
      <c r="C29" s="10" t="s">
        <v>60</v>
      </c>
      <c r="D29" s="10">
        <v>1105</v>
      </c>
      <c r="E29" s="45" t="s">
        <v>8</v>
      </c>
      <c r="F29" s="14"/>
      <c r="G29" s="14">
        <v>120000</v>
      </c>
    </row>
    <row r="30" spans="2:7" ht="19.2" thickTop="1" thickBot="1" x14ac:dyDescent="0.4">
      <c r="B30" s="13">
        <v>45687</v>
      </c>
      <c r="C30" s="10" t="s">
        <v>61</v>
      </c>
      <c r="D30" s="10">
        <v>5105</v>
      </c>
      <c r="E30" s="45" t="s">
        <v>15</v>
      </c>
      <c r="F30" s="14">
        <v>2100000</v>
      </c>
      <c r="G30" s="14"/>
    </row>
    <row r="31" spans="2:7" ht="19.2" thickTop="1" thickBot="1" x14ac:dyDescent="0.4">
      <c r="B31" s="9">
        <v>45687</v>
      </c>
      <c r="C31" s="10" t="s">
        <v>61</v>
      </c>
      <c r="D31" s="10">
        <v>1110</v>
      </c>
      <c r="E31" s="45" t="s">
        <v>25</v>
      </c>
      <c r="F31" s="14"/>
      <c r="G31" s="14">
        <v>2100000</v>
      </c>
    </row>
    <row r="32" spans="2:7" ht="15" thickTop="1" x14ac:dyDescent="0.3"/>
    <row r="34" spans="2:8" ht="18" x14ac:dyDescent="0.35">
      <c r="C34" s="27"/>
      <c r="D34" s="28"/>
      <c r="E34" s="28"/>
      <c r="F34" s="28"/>
      <c r="G34" s="29"/>
      <c r="H34" s="29"/>
    </row>
    <row r="35" spans="2:8" ht="18" x14ac:dyDescent="0.35">
      <c r="C35" s="30"/>
      <c r="D35" s="28"/>
      <c r="E35" s="28"/>
      <c r="F35" s="28"/>
      <c r="G35" s="29"/>
      <c r="H35" s="29"/>
    </row>
    <row r="36" spans="2:8" ht="18" x14ac:dyDescent="0.35">
      <c r="C36" s="27"/>
      <c r="D36" s="28"/>
      <c r="E36" s="28"/>
      <c r="F36" s="28"/>
      <c r="G36" s="29"/>
      <c r="H36" s="29"/>
    </row>
    <row r="37" spans="2:8" ht="18" x14ac:dyDescent="0.35">
      <c r="C37" s="27"/>
      <c r="D37" s="28"/>
      <c r="E37" s="28"/>
      <c r="F37" s="28"/>
      <c r="G37" s="29"/>
      <c r="H37" s="29"/>
    </row>
    <row r="38" spans="2:8" ht="18" x14ac:dyDescent="0.35">
      <c r="C38" s="27"/>
      <c r="D38" s="28"/>
      <c r="E38" s="28"/>
      <c r="F38" s="28"/>
      <c r="G38" s="29"/>
      <c r="H38" s="29"/>
    </row>
    <row r="39" spans="2:8" ht="18" x14ac:dyDescent="0.35">
      <c r="B39" s="27"/>
      <c r="C39" s="30"/>
      <c r="D39" s="28"/>
      <c r="E39" s="28"/>
      <c r="F39" s="28"/>
      <c r="G39" s="29"/>
      <c r="H39" s="29"/>
    </row>
    <row r="40" spans="2:8" ht="18" x14ac:dyDescent="0.35">
      <c r="C40" s="27"/>
      <c r="D40" s="28"/>
      <c r="E40" s="28"/>
      <c r="F40" s="28"/>
      <c r="G40" s="29"/>
      <c r="H40" s="29"/>
    </row>
  </sheetData>
  <mergeCells count="2">
    <mergeCell ref="B3:G3"/>
    <mergeCell ref="B4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4224-82EC-4284-B224-B71357813439}">
  <dimension ref="B3:L53"/>
  <sheetViews>
    <sheetView topLeftCell="C25" zoomScale="48" workbookViewId="0">
      <selection activeCell="J57" sqref="J57"/>
    </sheetView>
  </sheetViews>
  <sheetFormatPr baseColWidth="10" defaultRowHeight="14.4" x14ac:dyDescent="0.3"/>
  <cols>
    <col min="2" max="2" width="20.5546875" customWidth="1"/>
    <col min="3" max="3" width="42.33203125" customWidth="1"/>
    <col min="4" max="4" width="20.109375" customWidth="1"/>
    <col min="5" max="5" width="20.88671875" customWidth="1"/>
    <col min="6" max="6" width="21.77734375" customWidth="1"/>
    <col min="8" max="8" width="22.21875" customWidth="1"/>
    <col min="9" max="9" width="37.33203125" customWidth="1"/>
    <col min="10" max="10" width="18.88671875" customWidth="1"/>
    <col min="11" max="11" width="19" customWidth="1"/>
    <col min="12" max="12" width="17.5546875" customWidth="1"/>
  </cols>
  <sheetData>
    <row r="3" spans="2:12" ht="36.6" x14ac:dyDescent="0.7">
      <c r="B3" s="23" t="s">
        <v>16</v>
      </c>
      <c r="C3" s="24"/>
      <c r="D3" s="24"/>
      <c r="E3" s="24"/>
      <c r="F3" s="25"/>
      <c r="H3" s="23" t="s">
        <v>16</v>
      </c>
      <c r="I3" s="24"/>
      <c r="J3" s="24"/>
      <c r="K3" s="24"/>
      <c r="L3" s="25"/>
    </row>
    <row r="4" spans="2:12" x14ac:dyDescent="0.3">
      <c r="B4" s="15" t="s">
        <v>17</v>
      </c>
      <c r="C4" s="15"/>
      <c r="D4" s="15"/>
      <c r="E4" s="15"/>
      <c r="F4" s="15"/>
      <c r="H4" s="15" t="s">
        <v>17</v>
      </c>
      <c r="I4" s="15"/>
      <c r="J4" s="15"/>
      <c r="K4" s="15"/>
      <c r="L4" s="15"/>
    </row>
    <row r="5" spans="2:12" ht="18" x14ac:dyDescent="0.35">
      <c r="B5" s="16" t="s">
        <v>18</v>
      </c>
      <c r="C5" s="16" t="s">
        <v>41</v>
      </c>
      <c r="D5" s="17"/>
      <c r="E5" s="17"/>
      <c r="F5" s="17"/>
      <c r="H5" s="16" t="s">
        <v>18</v>
      </c>
      <c r="I5" s="16" t="s">
        <v>45</v>
      </c>
      <c r="J5" s="17"/>
      <c r="K5" s="17"/>
      <c r="L5" s="17"/>
    </row>
    <row r="6" spans="2:12" ht="18" x14ac:dyDescent="0.35">
      <c r="B6" s="18" t="s">
        <v>19</v>
      </c>
      <c r="C6" s="18" t="s">
        <v>3</v>
      </c>
      <c r="D6" s="18" t="s">
        <v>6</v>
      </c>
      <c r="E6" s="18" t="s">
        <v>7</v>
      </c>
      <c r="F6" s="18" t="s">
        <v>20</v>
      </c>
      <c r="H6" s="41" t="s">
        <v>19</v>
      </c>
      <c r="I6" s="41" t="s">
        <v>3</v>
      </c>
      <c r="J6" s="41" t="s">
        <v>6</v>
      </c>
      <c r="K6" s="41" t="s">
        <v>7</v>
      </c>
      <c r="L6" s="41" t="s">
        <v>20</v>
      </c>
    </row>
    <row r="7" spans="2:12" ht="18" x14ac:dyDescent="0.35">
      <c r="B7" s="34">
        <v>45658</v>
      </c>
      <c r="C7" s="35" t="s">
        <v>9</v>
      </c>
      <c r="D7" s="36">
        <v>10000000</v>
      </c>
      <c r="E7" s="36"/>
      <c r="F7" s="37">
        <f>D7+E7</f>
        <v>10000000</v>
      </c>
      <c r="H7" s="31">
        <v>45662</v>
      </c>
      <c r="I7" s="32" t="s">
        <v>27</v>
      </c>
      <c r="J7" s="47"/>
      <c r="K7" s="47">
        <v>3000000</v>
      </c>
      <c r="L7" s="48">
        <f>J7-K7</f>
        <v>-3000000</v>
      </c>
    </row>
    <row r="8" spans="2:12" ht="18" x14ac:dyDescent="0.35">
      <c r="B8" s="34">
        <v>45660</v>
      </c>
      <c r="C8" s="35" t="s">
        <v>26</v>
      </c>
      <c r="D8" s="36"/>
      <c r="E8" s="36">
        <v>6000000</v>
      </c>
      <c r="F8" s="37">
        <f>F7+D8-E8</f>
        <v>4000000</v>
      </c>
      <c r="H8" s="33">
        <v>45677</v>
      </c>
      <c r="I8" s="32" t="s">
        <v>32</v>
      </c>
      <c r="J8" s="48">
        <v>1000000</v>
      </c>
      <c r="K8" s="48"/>
      <c r="L8" s="48">
        <f>L7+J8-K8</f>
        <v>-2000000</v>
      </c>
    </row>
    <row r="9" spans="2:12" ht="18" x14ac:dyDescent="0.35">
      <c r="B9" s="34">
        <v>45667</v>
      </c>
      <c r="C9" s="35" t="s">
        <v>28</v>
      </c>
      <c r="D9" s="37"/>
      <c r="E9" s="37">
        <v>2000000</v>
      </c>
      <c r="F9" s="37">
        <f t="shared" ref="F9:F13" si="0">F8+D9-E9</f>
        <v>2000000</v>
      </c>
      <c r="H9" s="33"/>
      <c r="I9" s="32"/>
      <c r="J9" s="48"/>
      <c r="K9" s="48"/>
      <c r="L9" s="48">
        <f>L8+J9-K9</f>
        <v>-2000000</v>
      </c>
    </row>
    <row r="10" spans="2:12" ht="18" x14ac:dyDescent="0.35">
      <c r="B10" s="34">
        <v>45669</v>
      </c>
      <c r="C10" s="35" t="s">
        <v>29</v>
      </c>
      <c r="D10" s="37">
        <v>4000000</v>
      </c>
      <c r="E10" s="37"/>
      <c r="F10" s="37">
        <f t="shared" si="0"/>
        <v>6000000</v>
      </c>
      <c r="H10" s="27"/>
      <c r="I10" s="28"/>
      <c r="J10" s="44"/>
      <c r="K10" s="44"/>
      <c r="L10" s="44"/>
    </row>
    <row r="11" spans="2:12" ht="36.6" x14ac:dyDescent="0.7">
      <c r="B11" s="34">
        <v>45679</v>
      </c>
      <c r="C11" s="35" t="s">
        <v>34</v>
      </c>
      <c r="D11" s="37"/>
      <c r="E11" s="37">
        <v>500000</v>
      </c>
      <c r="F11" s="37">
        <f t="shared" si="0"/>
        <v>5500000</v>
      </c>
      <c r="H11" s="23" t="s">
        <v>16</v>
      </c>
      <c r="I11" s="24"/>
      <c r="J11" s="24"/>
      <c r="K11" s="24"/>
      <c r="L11" s="25"/>
    </row>
    <row r="12" spans="2:12" ht="18" x14ac:dyDescent="0.35">
      <c r="B12" s="38">
        <v>45685</v>
      </c>
      <c r="C12" s="35" t="s">
        <v>37</v>
      </c>
      <c r="D12" s="37"/>
      <c r="E12" s="37">
        <v>120000</v>
      </c>
      <c r="F12" s="37">
        <f t="shared" si="0"/>
        <v>5380000</v>
      </c>
      <c r="H12" s="15" t="s">
        <v>17</v>
      </c>
      <c r="I12" s="15"/>
      <c r="J12" s="15"/>
      <c r="K12" s="15"/>
      <c r="L12" s="15"/>
    </row>
    <row r="13" spans="2:12" ht="18" x14ac:dyDescent="0.35">
      <c r="B13" s="22"/>
      <c r="C13" s="22"/>
      <c r="D13" s="21"/>
      <c r="E13" s="21"/>
      <c r="F13" s="37">
        <f t="shared" si="0"/>
        <v>5380000</v>
      </c>
      <c r="H13" s="16" t="s">
        <v>18</v>
      </c>
      <c r="I13" s="16" t="s">
        <v>46</v>
      </c>
      <c r="J13" s="17"/>
      <c r="K13" s="17"/>
      <c r="L13" s="17"/>
    </row>
    <row r="14" spans="2:12" ht="18" x14ac:dyDescent="0.35">
      <c r="H14" s="41" t="s">
        <v>19</v>
      </c>
      <c r="I14" s="41" t="s">
        <v>3</v>
      </c>
      <c r="J14" s="41" t="s">
        <v>6</v>
      </c>
      <c r="K14" s="41" t="s">
        <v>7</v>
      </c>
      <c r="L14" s="41" t="s">
        <v>20</v>
      </c>
    </row>
    <row r="15" spans="2:12" ht="36.6" x14ac:dyDescent="0.7">
      <c r="B15" s="23" t="s">
        <v>16</v>
      </c>
      <c r="C15" s="24"/>
      <c r="D15" s="24"/>
      <c r="E15" s="24"/>
      <c r="F15" s="25"/>
      <c r="H15" s="31">
        <v>45669</v>
      </c>
      <c r="I15" s="32" t="s">
        <v>29</v>
      </c>
      <c r="J15" s="47"/>
      <c r="K15" s="47">
        <v>4000000</v>
      </c>
      <c r="L15" s="48">
        <f>J15-K15</f>
        <v>-4000000</v>
      </c>
    </row>
    <row r="16" spans="2:12" ht="18" x14ac:dyDescent="0.35">
      <c r="B16" s="15" t="s">
        <v>17</v>
      </c>
      <c r="C16" s="15"/>
      <c r="D16" s="15"/>
      <c r="E16" s="15"/>
      <c r="F16" s="15"/>
      <c r="H16" s="33">
        <v>45672</v>
      </c>
      <c r="I16" s="32" t="s">
        <v>12</v>
      </c>
      <c r="J16" s="48"/>
      <c r="K16" s="48">
        <v>2500000</v>
      </c>
      <c r="L16" s="48">
        <f>L15+J16-K16</f>
        <v>-6500000</v>
      </c>
    </row>
    <row r="17" spans="2:12" ht="18" x14ac:dyDescent="0.35">
      <c r="B17" s="16" t="s">
        <v>18</v>
      </c>
      <c r="C17" s="16" t="s">
        <v>42</v>
      </c>
      <c r="D17" s="17"/>
      <c r="E17" s="17"/>
      <c r="F17" s="17"/>
      <c r="H17" s="33"/>
      <c r="I17" s="32"/>
      <c r="J17" s="48"/>
      <c r="K17" s="48"/>
      <c r="L17" s="48">
        <f>L16+J17-K17</f>
        <v>-6500000</v>
      </c>
    </row>
    <row r="18" spans="2:12" ht="18" x14ac:dyDescent="0.35">
      <c r="B18" s="41" t="s">
        <v>19</v>
      </c>
      <c r="C18" s="41" t="s">
        <v>3</v>
      </c>
      <c r="D18" s="41" t="s">
        <v>6</v>
      </c>
      <c r="E18" s="18" t="s">
        <v>7</v>
      </c>
      <c r="F18" s="18" t="s">
        <v>20</v>
      </c>
    </row>
    <row r="19" spans="2:12" ht="36.6" x14ac:dyDescent="0.7">
      <c r="B19" s="31">
        <v>45658</v>
      </c>
      <c r="C19" s="32" t="s">
        <v>9</v>
      </c>
      <c r="D19" s="36"/>
      <c r="E19" s="36">
        <v>10000000</v>
      </c>
      <c r="F19" s="37">
        <f>D19-E19</f>
        <v>-10000000</v>
      </c>
      <c r="H19" s="23" t="s">
        <v>16</v>
      </c>
      <c r="I19" s="24"/>
      <c r="J19" s="24"/>
      <c r="K19" s="24"/>
      <c r="L19" s="25"/>
    </row>
    <row r="20" spans="2:12" ht="18" x14ac:dyDescent="0.35">
      <c r="B20" s="42"/>
      <c r="C20" s="43"/>
      <c r="D20" s="20"/>
      <c r="E20" s="20"/>
      <c r="F20" s="21">
        <f>F19+D20-E20</f>
        <v>-10000000</v>
      </c>
      <c r="H20" s="15" t="s">
        <v>17</v>
      </c>
      <c r="I20" s="15"/>
      <c r="J20" s="15"/>
      <c r="K20" s="15"/>
      <c r="L20" s="15"/>
    </row>
    <row r="21" spans="2:12" ht="18" x14ac:dyDescent="0.35">
      <c r="B21" s="30"/>
      <c r="C21" s="28"/>
      <c r="D21" s="39"/>
      <c r="E21" s="39"/>
      <c r="F21" s="39"/>
      <c r="H21" s="16" t="s">
        <v>18</v>
      </c>
      <c r="I21" s="16" t="s">
        <v>47</v>
      </c>
      <c r="J21" s="17"/>
      <c r="K21" s="17"/>
      <c r="L21" s="17"/>
    </row>
    <row r="22" spans="2:12" ht="36.6" x14ac:dyDescent="0.7">
      <c r="B22" s="23" t="s">
        <v>16</v>
      </c>
      <c r="C22" s="24"/>
      <c r="D22" s="24"/>
      <c r="E22" s="24"/>
      <c r="F22" s="25"/>
      <c r="H22" s="41" t="s">
        <v>19</v>
      </c>
      <c r="I22" s="41" t="s">
        <v>3</v>
      </c>
      <c r="J22" s="41" t="s">
        <v>6</v>
      </c>
      <c r="K22" s="41" t="s">
        <v>7</v>
      </c>
      <c r="L22" s="41" t="s">
        <v>20</v>
      </c>
    </row>
    <row r="23" spans="2:12" ht="18" x14ac:dyDescent="0.35">
      <c r="B23" s="15" t="s">
        <v>17</v>
      </c>
      <c r="C23" s="15"/>
      <c r="D23" s="15"/>
      <c r="E23" s="15"/>
      <c r="F23" s="15"/>
      <c r="H23" s="31">
        <v>45669</v>
      </c>
      <c r="I23" s="32" t="s">
        <v>11</v>
      </c>
      <c r="J23" s="47">
        <v>2400000</v>
      </c>
      <c r="K23" s="47"/>
      <c r="L23" s="48">
        <f>J23+K23</f>
        <v>2400000</v>
      </c>
    </row>
    <row r="24" spans="2:12" ht="18" x14ac:dyDescent="0.35">
      <c r="B24" s="16" t="s">
        <v>18</v>
      </c>
      <c r="C24" s="16" t="s">
        <v>43</v>
      </c>
      <c r="D24" s="17"/>
      <c r="E24" s="17"/>
      <c r="F24" s="17"/>
      <c r="H24" s="31">
        <v>45672</v>
      </c>
      <c r="I24" s="32" t="s">
        <v>31</v>
      </c>
      <c r="J24" s="48">
        <v>1500000</v>
      </c>
      <c r="K24" s="48"/>
      <c r="L24" s="48">
        <f>L23+J24-K24</f>
        <v>3900000</v>
      </c>
    </row>
    <row r="25" spans="2:12" ht="18" x14ac:dyDescent="0.35">
      <c r="B25" s="41" t="s">
        <v>19</v>
      </c>
      <c r="C25" s="41" t="s">
        <v>3</v>
      </c>
      <c r="D25" s="41" t="s">
        <v>6</v>
      </c>
      <c r="E25" s="41" t="s">
        <v>7</v>
      </c>
      <c r="F25" s="41" t="s">
        <v>20</v>
      </c>
      <c r="H25" s="33"/>
      <c r="I25" s="32"/>
      <c r="J25" s="48"/>
      <c r="K25" s="48"/>
      <c r="L25" s="48">
        <f>L24+J25-K25</f>
        <v>3900000</v>
      </c>
    </row>
    <row r="26" spans="2:12" ht="18" x14ac:dyDescent="0.35">
      <c r="B26" s="42">
        <v>45660</v>
      </c>
      <c r="C26" s="43" t="s">
        <v>24</v>
      </c>
      <c r="D26" s="20">
        <v>6000000</v>
      </c>
      <c r="E26" s="20"/>
      <c r="F26" s="46">
        <f>D26+E26</f>
        <v>6000000</v>
      </c>
    </row>
    <row r="27" spans="2:12" ht="36.6" x14ac:dyDescent="0.7">
      <c r="B27" s="42">
        <v>45677</v>
      </c>
      <c r="C27" s="43" t="s">
        <v>32</v>
      </c>
      <c r="D27" s="46"/>
      <c r="E27" s="46">
        <v>1000000</v>
      </c>
      <c r="F27" s="46">
        <f>F26+D27-E27</f>
        <v>5000000</v>
      </c>
      <c r="H27" s="23" t="s">
        <v>16</v>
      </c>
      <c r="I27" s="24"/>
      <c r="J27" s="24"/>
      <c r="K27" s="24"/>
      <c r="L27" s="25"/>
    </row>
    <row r="28" spans="2:12" ht="18" x14ac:dyDescent="0.35">
      <c r="B28" s="19">
        <v>45682</v>
      </c>
      <c r="C28" s="43" t="s">
        <v>35</v>
      </c>
      <c r="D28" s="46">
        <v>1500000</v>
      </c>
      <c r="E28" s="46"/>
      <c r="F28" s="46">
        <f t="shared" ref="F28:F30" si="1">F27+D28-E28</f>
        <v>6500000</v>
      </c>
      <c r="H28" s="15" t="s">
        <v>17</v>
      </c>
      <c r="I28" s="15"/>
      <c r="J28" s="15"/>
      <c r="K28" s="15"/>
      <c r="L28" s="15"/>
    </row>
    <row r="29" spans="2:12" ht="18" x14ac:dyDescent="0.35">
      <c r="B29" s="42">
        <v>45687</v>
      </c>
      <c r="C29" s="43" t="s">
        <v>38</v>
      </c>
      <c r="D29" s="46"/>
      <c r="E29" s="46">
        <v>2100000</v>
      </c>
      <c r="F29" s="46">
        <f t="shared" si="1"/>
        <v>4400000</v>
      </c>
      <c r="H29" s="16" t="s">
        <v>18</v>
      </c>
      <c r="I29" s="16" t="s">
        <v>48</v>
      </c>
      <c r="J29" s="17"/>
      <c r="K29" s="17"/>
      <c r="L29" s="17"/>
    </row>
    <row r="30" spans="2:12" ht="18" x14ac:dyDescent="0.35">
      <c r="B30" s="22"/>
      <c r="C30" s="22"/>
      <c r="D30" s="22"/>
      <c r="E30" s="22"/>
      <c r="F30" s="46">
        <f t="shared" si="1"/>
        <v>4400000</v>
      </c>
      <c r="H30" s="41" t="s">
        <v>19</v>
      </c>
      <c r="I30" s="41" t="s">
        <v>3</v>
      </c>
      <c r="J30" s="41" t="s">
        <v>6</v>
      </c>
      <c r="K30" s="41" t="s">
        <v>7</v>
      </c>
      <c r="L30" s="41" t="s">
        <v>20</v>
      </c>
    </row>
    <row r="31" spans="2:12" ht="18" x14ac:dyDescent="0.35">
      <c r="H31" s="33">
        <v>45672</v>
      </c>
      <c r="I31" s="32" t="s">
        <v>12</v>
      </c>
      <c r="J31" s="47">
        <v>2500000</v>
      </c>
      <c r="K31" s="47"/>
      <c r="L31" s="48">
        <f>J31+K31</f>
        <v>2500000</v>
      </c>
    </row>
    <row r="32" spans="2:12" ht="36.6" x14ac:dyDescent="0.7">
      <c r="B32" s="23" t="s">
        <v>16</v>
      </c>
      <c r="C32" s="24"/>
      <c r="D32" s="24"/>
      <c r="E32" s="24"/>
      <c r="F32" s="25"/>
      <c r="H32" s="33">
        <v>45682</v>
      </c>
      <c r="I32" s="32" t="s">
        <v>35</v>
      </c>
      <c r="J32" s="48"/>
      <c r="K32" s="48">
        <v>1500000</v>
      </c>
      <c r="L32" s="48">
        <f>L31+J32-K32</f>
        <v>1000000</v>
      </c>
    </row>
    <row r="33" spans="2:12" ht="18" x14ac:dyDescent="0.35">
      <c r="B33" s="15" t="s">
        <v>17</v>
      </c>
      <c r="C33" s="15"/>
      <c r="D33" s="15"/>
      <c r="E33" s="15"/>
      <c r="F33" s="15"/>
      <c r="H33" s="33"/>
      <c r="I33" s="32"/>
      <c r="J33" s="48"/>
      <c r="K33" s="48"/>
      <c r="L33" s="48">
        <f>L32+J33-K33</f>
        <v>1000000</v>
      </c>
    </row>
    <row r="34" spans="2:12" ht="18" x14ac:dyDescent="0.35">
      <c r="B34" s="16" t="s">
        <v>18</v>
      </c>
      <c r="C34" s="16" t="s">
        <v>44</v>
      </c>
      <c r="D34" s="17"/>
      <c r="E34" s="17"/>
      <c r="F34" s="17"/>
    </row>
    <row r="35" spans="2:12" ht="36.6" x14ac:dyDescent="0.7">
      <c r="B35" s="41" t="s">
        <v>19</v>
      </c>
      <c r="C35" s="41" t="s">
        <v>3</v>
      </c>
      <c r="D35" s="41" t="s">
        <v>6</v>
      </c>
      <c r="E35" s="41" t="s">
        <v>7</v>
      </c>
      <c r="F35" s="41" t="s">
        <v>20</v>
      </c>
      <c r="H35" s="23" t="s">
        <v>16</v>
      </c>
      <c r="I35" s="24"/>
      <c r="J35" s="24"/>
      <c r="K35" s="24"/>
      <c r="L35" s="25"/>
    </row>
    <row r="36" spans="2:12" ht="18" x14ac:dyDescent="0.35">
      <c r="B36" s="31">
        <v>45662</v>
      </c>
      <c r="C36" s="32" t="s">
        <v>27</v>
      </c>
      <c r="D36" s="47">
        <v>3000000</v>
      </c>
      <c r="E36" s="47"/>
      <c r="F36" s="48">
        <f>D36+E36</f>
        <v>3000000</v>
      </c>
      <c r="H36" s="15" t="s">
        <v>17</v>
      </c>
      <c r="I36" s="15"/>
      <c r="J36" s="15"/>
      <c r="K36" s="15"/>
      <c r="L36" s="15"/>
    </row>
    <row r="37" spans="2:12" ht="18" x14ac:dyDescent="0.35">
      <c r="B37" s="31">
        <v>45667</v>
      </c>
      <c r="C37" s="32" t="s">
        <v>28</v>
      </c>
      <c r="D37" s="48">
        <v>2000000</v>
      </c>
      <c r="E37" s="48"/>
      <c r="F37" s="48">
        <f>F36+D37-E37</f>
        <v>5000000</v>
      </c>
      <c r="H37" s="16" t="s">
        <v>18</v>
      </c>
      <c r="I37" s="16" t="s">
        <v>49</v>
      </c>
      <c r="J37" s="17"/>
      <c r="K37" s="17"/>
      <c r="L37" s="17"/>
    </row>
    <row r="38" spans="2:12" ht="18" x14ac:dyDescent="0.35">
      <c r="B38" s="33">
        <v>45669</v>
      </c>
      <c r="C38" s="32" t="s">
        <v>30</v>
      </c>
      <c r="D38" s="48"/>
      <c r="E38" s="48">
        <v>2400000</v>
      </c>
      <c r="F38" s="48">
        <f t="shared" ref="F38:F40" si="2">F37+D38-E38</f>
        <v>2600000</v>
      </c>
      <c r="H38" s="41" t="s">
        <v>19</v>
      </c>
      <c r="I38" s="41" t="s">
        <v>3</v>
      </c>
      <c r="J38" s="41" t="s">
        <v>6</v>
      </c>
      <c r="K38" s="41" t="s">
        <v>7</v>
      </c>
      <c r="L38" s="41" t="s">
        <v>20</v>
      </c>
    </row>
    <row r="39" spans="2:12" ht="18" x14ac:dyDescent="0.35">
      <c r="B39" s="33">
        <v>45672</v>
      </c>
      <c r="C39" s="32" t="s">
        <v>31</v>
      </c>
      <c r="D39" s="48"/>
      <c r="E39" s="48">
        <v>1500000</v>
      </c>
      <c r="F39" s="48">
        <f t="shared" si="2"/>
        <v>1100000</v>
      </c>
      <c r="H39" s="31">
        <v>45679</v>
      </c>
      <c r="I39" s="32" t="s">
        <v>33</v>
      </c>
      <c r="J39" s="47">
        <v>500000</v>
      </c>
      <c r="K39" s="47"/>
      <c r="L39" s="48">
        <f>J39+K39</f>
        <v>500000</v>
      </c>
    </row>
    <row r="40" spans="2:12" ht="18" x14ac:dyDescent="0.35">
      <c r="B40" s="49"/>
      <c r="C40" s="49"/>
      <c r="D40" s="49"/>
      <c r="E40" s="49"/>
      <c r="F40" s="48">
        <f t="shared" si="2"/>
        <v>1100000</v>
      </c>
      <c r="H40" s="33"/>
      <c r="I40" s="32"/>
      <c r="J40" s="48"/>
      <c r="K40" s="48"/>
      <c r="L40" s="48">
        <f>L39+J40-K40</f>
        <v>500000</v>
      </c>
    </row>
    <row r="41" spans="2:12" ht="18" x14ac:dyDescent="0.35">
      <c r="H41" s="27"/>
      <c r="I41" s="28"/>
      <c r="J41" s="44"/>
      <c r="K41" s="44"/>
      <c r="L41" s="44"/>
    </row>
    <row r="42" spans="2:12" x14ac:dyDescent="0.3">
      <c r="H42" s="15" t="s">
        <v>17</v>
      </c>
      <c r="I42" s="15"/>
      <c r="J42" s="15"/>
      <c r="K42" s="15"/>
      <c r="L42" s="15"/>
    </row>
    <row r="43" spans="2:12" ht="18" x14ac:dyDescent="0.35">
      <c r="H43" s="16" t="s">
        <v>18</v>
      </c>
      <c r="I43" s="16" t="s">
        <v>50</v>
      </c>
      <c r="J43" s="17"/>
      <c r="K43" s="17"/>
      <c r="L43" s="17"/>
    </row>
    <row r="44" spans="2:12" ht="18" x14ac:dyDescent="0.35">
      <c r="H44" s="41" t="s">
        <v>19</v>
      </c>
      <c r="I44" s="41" t="s">
        <v>3</v>
      </c>
      <c r="J44" s="41" t="s">
        <v>6</v>
      </c>
      <c r="K44" s="41" t="s">
        <v>7</v>
      </c>
      <c r="L44" s="41" t="s">
        <v>20</v>
      </c>
    </row>
    <row r="45" spans="2:12" ht="18" x14ac:dyDescent="0.35">
      <c r="H45" s="33">
        <v>45685</v>
      </c>
      <c r="I45" s="32" t="s">
        <v>36</v>
      </c>
      <c r="J45" s="47">
        <v>120000</v>
      </c>
      <c r="K45" s="47"/>
      <c r="L45" s="48">
        <f>J45+K45</f>
        <v>120000</v>
      </c>
    </row>
    <row r="46" spans="2:12" ht="18" x14ac:dyDescent="0.35">
      <c r="H46" s="33"/>
      <c r="I46" s="32"/>
      <c r="J46" s="48"/>
      <c r="K46" s="48"/>
      <c r="L46" s="48">
        <f>L45+J46-K46</f>
        <v>120000</v>
      </c>
    </row>
    <row r="48" spans="2:12" x14ac:dyDescent="0.3">
      <c r="H48" s="15" t="s">
        <v>17</v>
      </c>
      <c r="I48" s="15"/>
      <c r="J48" s="15"/>
      <c r="K48" s="15"/>
      <c r="L48" s="15"/>
    </row>
    <row r="49" spans="8:12" ht="18" x14ac:dyDescent="0.35">
      <c r="H49" s="16" t="s">
        <v>18</v>
      </c>
      <c r="I49" s="16" t="s">
        <v>51</v>
      </c>
      <c r="J49" s="17"/>
      <c r="K49" s="17"/>
      <c r="L49" s="17"/>
    </row>
    <row r="50" spans="8:12" ht="18" x14ac:dyDescent="0.35">
      <c r="H50" s="41" t="s">
        <v>19</v>
      </c>
      <c r="I50" s="41" t="s">
        <v>3</v>
      </c>
      <c r="J50" s="41" t="s">
        <v>6</v>
      </c>
      <c r="K50" s="41" t="s">
        <v>7</v>
      </c>
      <c r="L50" s="41" t="s">
        <v>20</v>
      </c>
    </row>
    <row r="51" spans="8:12" ht="18" x14ac:dyDescent="0.35">
      <c r="H51" s="33">
        <v>45687</v>
      </c>
      <c r="I51" s="32" t="s">
        <v>38</v>
      </c>
      <c r="J51" s="47">
        <v>2100000</v>
      </c>
      <c r="K51" s="47"/>
      <c r="L51" s="48">
        <f>J51+K51</f>
        <v>2100000</v>
      </c>
    </row>
    <row r="52" spans="8:12" ht="18" x14ac:dyDescent="0.35">
      <c r="H52" s="33"/>
      <c r="I52" s="32"/>
      <c r="J52" s="48"/>
      <c r="K52" s="48"/>
      <c r="L52" s="48">
        <f>L51+J52-K52</f>
        <v>2100000</v>
      </c>
    </row>
    <row r="53" spans="8:12" x14ac:dyDescent="0.3">
      <c r="K53">
        <v>3</v>
      </c>
    </row>
  </sheetData>
  <mergeCells count="20">
    <mergeCell ref="H35:L35"/>
    <mergeCell ref="H36:L36"/>
    <mergeCell ref="H42:L42"/>
    <mergeCell ref="H48:L48"/>
    <mergeCell ref="B32:F32"/>
    <mergeCell ref="B33:F33"/>
    <mergeCell ref="H3:L3"/>
    <mergeCell ref="H4:L4"/>
    <mergeCell ref="H11:L11"/>
    <mergeCell ref="H12:L12"/>
    <mergeCell ref="H19:L19"/>
    <mergeCell ref="H20:L20"/>
    <mergeCell ref="H27:L27"/>
    <mergeCell ref="H28:L28"/>
    <mergeCell ref="B3:F3"/>
    <mergeCell ref="B4:F4"/>
    <mergeCell ref="B15:F15"/>
    <mergeCell ref="B16:F16"/>
    <mergeCell ref="B22:F22"/>
    <mergeCell ref="B23:F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AE33-2D5F-41C8-BD58-B8438A0DE952}">
  <dimension ref="B2:G25"/>
  <sheetViews>
    <sheetView tabSelected="1" topLeftCell="A8" zoomScale="159" workbookViewId="0">
      <selection activeCell="F20" sqref="F20"/>
    </sheetView>
  </sheetViews>
  <sheetFormatPr baseColWidth="10" defaultRowHeight="14.4" x14ac:dyDescent="0.3"/>
  <cols>
    <col min="1" max="1" width="17.88671875" customWidth="1"/>
    <col min="2" max="2" width="8.77734375" customWidth="1"/>
    <col min="3" max="3" width="31.44140625" customWidth="1"/>
    <col min="4" max="4" width="17.88671875" customWidth="1"/>
    <col min="5" max="5" width="16.77734375" customWidth="1"/>
    <col min="6" max="6" width="28.88671875" customWidth="1"/>
  </cols>
  <sheetData>
    <row r="2" spans="2:7" ht="18" x14ac:dyDescent="0.35">
      <c r="B2" s="26" t="s">
        <v>21</v>
      </c>
      <c r="C2" s="26" t="s">
        <v>5</v>
      </c>
      <c r="D2" s="26" t="s">
        <v>22</v>
      </c>
      <c r="E2" s="26" t="s">
        <v>7</v>
      </c>
    </row>
    <row r="3" spans="2:7" x14ac:dyDescent="0.3">
      <c r="B3" s="52">
        <v>1105</v>
      </c>
      <c r="C3" s="50" t="s">
        <v>8</v>
      </c>
      <c r="D3" s="53">
        <v>5380000</v>
      </c>
      <c r="E3" s="53"/>
    </row>
    <row r="4" spans="2:7" x14ac:dyDescent="0.3">
      <c r="B4" s="52">
        <v>3110</v>
      </c>
      <c r="C4" s="50" t="s">
        <v>23</v>
      </c>
      <c r="D4" s="53"/>
      <c r="E4" s="53">
        <v>10000000</v>
      </c>
    </row>
    <row r="5" spans="2:7" x14ac:dyDescent="0.3">
      <c r="B5" s="52">
        <v>1110</v>
      </c>
      <c r="C5" s="50" t="s">
        <v>64</v>
      </c>
      <c r="D5" s="53">
        <v>4400000</v>
      </c>
      <c r="E5" s="53"/>
    </row>
    <row r="6" spans="2:7" x14ac:dyDescent="0.3">
      <c r="B6" s="52">
        <v>1435</v>
      </c>
      <c r="C6" s="50" t="s">
        <v>10</v>
      </c>
      <c r="D6" s="53">
        <v>1100000</v>
      </c>
      <c r="E6" s="53"/>
    </row>
    <row r="7" spans="2:7" x14ac:dyDescent="0.3">
      <c r="B7" s="52">
        <v>2205</v>
      </c>
      <c r="C7" s="50" t="s">
        <v>65</v>
      </c>
      <c r="D7" s="53"/>
      <c r="E7" s="53">
        <v>2000000</v>
      </c>
    </row>
    <row r="8" spans="2:7" x14ac:dyDescent="0.3">
      <c r="B8" s="52">
        <v>4135</v>
      </c>
      <c r="C8" s="50" t="s">
        <v>63</v>
      </c>
      <c r="D8" s="53"/>
      <c r="E8" s="53">
        <v>6500000</v>
      </c>
    </row>
    <row r="9" spans="2:7" x14ac:dyDescent="0.3">
      <c r="B9" s="52">
        <v>6135</v>
      </c>
      <c r="C9" s="50" t="s">
        <v>11</v>
      </c>
      <c r="D9" s="53">
        <v>3900000</v>
      </c>
      <c r="E9" s="53"/>
    </row>
    <row r="10" spans="2:7" x14ac:dyDescent="0.3">
      <c r="B10" s="52">
        <v>1305</v>
      </c>
      <c r="C10" s="50" t="s">
        <v>66</v>
      </c>
      <c r="D10" s="53">
        <v>1000000</v>
      </c>
      <c r="E10" s="53"/>
    </row>
    <row r="11" spans="2:7" x14ac:dyDescent="0.3">
      <c r="B11" s="52">
        <v>5120</v>
      </c>
      <c r="C11" s="50" t="s">
        <v>62</v>
      </c>
      <c r="D11" s="53">
        <v>500000</v>
      </c>
      <c r="E11" s="53"/>
    </row>
    <row r="12" spans="2:7" x14ac:dyDescent="0.3">
      <c r="B12" s="52">
        <v>5130</v>
      </c>
      <c r="C12" s="50" t="s">
        <v>40</v>
      </c>
      <c r="D12" s="53">
        <v>120000</v>
      </c>
      <c r="E12" s="53"/>
    </row>
    <row r="13" spans="2:7" x14ac:dyDescent="0.3">
      <c r="B13" s="54">
        <v>5105</v>
      </c>
      <c r="C13" s="51" t="s">
        <v>15</v>
      </c>
      <c r="D13" s="55">
        <v>2100000</v>
      </c>
      <c r="E13" s="55"/>
    </row>
    <row r="14" spans="2:7" x14ac:dyDescent="0.3">
      <c r="B14" s="56" t="s">
        <v>67</v>
      </c>
      <c r="C14" s="57"/>
      <c r="D14" s="53">
        <f>D3+D5+D6+D9+D10+D11+D12+D13</f>
        <v>18500000</v>
      </c>
      <c r="E14" s="53">
        <f>E4+E7+E8</f>
        <v>18500000</v>
      </c>
    </row>
    <row r="15" spans="2:7" x14ac:dyDescent="0.3">
      <c r="B15" s="40"/>
      <c r="C15" s="40"/>
      <c r="D15" s="40"/>
      <c r="E15" s="40"/>
    </row>
    <row r="16" spans="2:7" x14ac:dyDescent="0.3">
      <c r="B16" s="40"/>
      <c r="C16" s="60" t="s">
        <v>68</v>
      </c>
      <c r="D16" s="40"/>
      <c r="E16" s="40"/>
      <c r="F16" s="62" t="s">
        <v>68</v>
      </c>
      <c r="G16" s="40"/>
    </row>
    <row r="17" spans="2:7" x14ac:dyDescent="0.3">
      <c r="B17" s="40"/>
      <c r="C17" s="58" t="s">
        <v>69</v>
      </c>
      <c r="D17" s="59">
        <v>5</v>
      </c>
      <c r="E17" s="40"/>
      <c r="F17" s="61" t="s">
        <v>69</v>
      </c>
      <c r="G17" s="59">
        <v>42</v>
      </c>
    </row>
    <row r="18" spans="2:7" x14ac:dyDescent="0.3">
      <c r="B18" s="40"/>
      <c r="C18" s="58" t="s">
        <v>70</v>
      </c>
      <c r="D18" s="59"/>
      <c r="E18" s="40"/>
      <c r="F18" s="61" t="s">
        <v>70</v>
      </c>
      <c r="G18" s="59"/>
    </row>
    <row r="19" spans="2:7" x14ac:dyDescent="0.3">
      <c r="B19" s="40"/>
      <c r="C19" s="58" t="s">
        <v>71</v>
      </c>
      <c r="D19" s="59"/>
      <c r="E19" s="40"/>
      <c r="F19" s="61" t="s">
        <v>71</v>
      </c>
      <c r="G19" s="59"/>
    </row>
    <row r="20" spans="2:7" x14ac:dyDescent="0.3">
      <c r="B20" s="40"/>
      <c r="C20" s="63" t="s">
        <v>72</v>
      </c>
      <c r="D20" s="40"/>
      <c r="E20" s="40"/>
      <c r="F20" s="63" t="s">
        <v>73</v>
      </c>
    </row>
    <row r="21" spans="2:7" x14ac:dyDescent="0.3">
      <c r="B21" s="40"/>
      <c r="C21" s="40"/>
      <c r="D21" s="40"/>
      <c r="E21" s="40"/>
    </row>
    <row r="22" spans="2:7" x14ac:dyDescent="0.3">
      <c r="B22" s="40"/>
      <c r="C22" s="40"/>
      <c r="D22" s="40"/>
      <c r="E22" s="40"/>
    </row>
    <row r="23" spans="2:7" x14ac:dyDescent="0.3">
      <c r="B23" s="40"/>
      <c r="C23" s="40"/>
      <c r="D23" s="40"/>
      <c r="E23" s="40"/>
    </row>
    <row r="24" spans="2:7" x14ac:dyDescent="0.3">
      <c r="B24" s="40"/>
      <c r="C24" s="40"/>
      <c r="D24" s="40"/>
      <c r="E24" s="40"/>
    </row>
    <row r="25" spans="2:7" x14ac:dyDescent="0.3">
      <c r="B25" s="40"/>
      <c r="C25" s="40"/>
      <c r="D25" s="40"/>
      <c r="E25" s="40"/>
    </row>
  </sheetData>
  <mergeCells count="3">
    <mergeCell ref="B14:C14"/>
    <mergeCell ref="D17:D19"/>
    <mergeCell ref="G17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LIBRO DIARIO</vt:lpstr>
      <vt:lpstr>LIBRO MAYOR</vt:lpstr>
      <vt:lpstr>BALANCE DE COMPROBACION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torres manrique</dc:creator>
  <cp:lastModifiedBy>sara torres manrique</cp:lastModifiedBy>
  <dcterms:created xsi:type="dcterms:W3CDTF">2025-11-18T14:09:40Z</dcterms:created>
  <dcterms:modified xsi:type="dcterms:W3CDTF">2025-11-18T16:16:05Z</dcterms:modified>
</cp:coreProperties>
</file>